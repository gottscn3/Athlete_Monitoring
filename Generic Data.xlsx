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e43b0322d0912d6/Documentos/"/>
    </mc:Choice>
  </mc:AlternateContent>
  <xr:revisionPtr revIDLastSave="50" documentId="8_{AFA0AAE9-F973-4EBD-B4FB-C70F60478BF8}" xr6:coauthVersionLast="47" xr6:coauthVersionMax="47" xr10:uidLastSave="{1F2A3415-6F11-457D-B204-B26C43D824A1}"/>
  <bookViews>
    <workbookView xWindow="-120" yWindow="-120" windowWidth="20730" windowHeight="11040" activeTab="1" xr2:uid="{2D08902D-CBC8-1341-A0BD-83DD982E7FB5}"/>
  </bookViews>
  <sheets>
    <sheet name="Firstbeat" sheetId="20" r:id="rId1"/>
    <sheet name="MASTER" sheetId="7" r:id="rId2"/>
    <sheet name="Fri 7.24" sheetId="1" state="hidden" r:id="rId3"/>
    <sheet name="Mon 7.27" sheetId="2" state="hidden" r:id="rId4"/>
    <sheet name="Thurs 7.30" sheetId="5" state="hidden" r:id="rId5"/>
    <sheet name="Mon 8.3" sheetId="6" state="hidden" r:id="rId6"/>
    <sheet name="Fri 8.7" sheetId="8" state="hidden" r:id="rId7"/>
    <sheet name="Tues 8.11" sheetId="9" state="hidden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9" l="1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9" l="1"/>
  <c r="G29" i="8"/>
  <c r="G29" i="6"/>
  <c r="G29" i="5"/>
  <c r="G29" i="2"/>
  <c r="G29" i="1"/>
</calcChain>
</file>

<file path=xl/sharedStrings.xml><?xml version="1.0" encoding="utf-8"?>
<sst xmlns="http://schemas.openxmlformats.org/spreadsheetml/2006/main" count="1575" uniqueCount="107">
  <si>
    <t>Date</t>
  </si>
  <si>
    <t>Name Key</t>
  </si>
  <si>
    <t>Trimp</t>
  </si>
  <si>
    <t>Movement Load</t>
  </si>
  <si>
    <t>ACWR</t>
  </si>
  <si>
    <t>First Name</t>
  </si>
  <si>
    <t>Last Name</t>
  </si>
  <si>
    <t>Baseline Low (in)</t>
  </si>
  <si>
    <t>Baseline High (in)</t>
  </si>
  <si>
    <t>Latest Avg (in)</t>
  </si>
  <si>
    <t>Ella</t>
  </si>
  <si>
    <t>Elsa</t>
  </si>
  <si>
    <t>Baldasano</t>
  </si>
  <si>
    <t>Livie</t>
  </si>
  <si>
    <t>Penton</t>
  </si>
  <si>
    <t>Ryleigh</t>
  </si>
  <si>
    <t>Alcala</t>
  </si>
  <si>
    <t>Lewis</t>
  </si>
  <si>
    <t>Benshoff</t>
  </si>
  <si>
    <t>Sid</t>
  </si>
  <si>
    <t>Nicholas</t>
  </si>
  <si>
    <t>Lauryn</t>
  </si>
  <si>
    <t>Hancock</t>
  </si>
  <si>
    <t>Elise</t>
  </si>
  <si>
    <t>Boyd</t>
  </si>
  <si>
    <t>Emilee</t>
  </si>
  <si>
    <t>Tonkovich</t>
  </si>
  <si>
    <t>Sophia</t>
  </si>
  <si>
    <t>Miskovic</t>
  </si>
  <si>
    <t>Tea</t>
  </si>
  <si>
    <t>Optiz</t>
  </si>
  <si>
    <t>Olivia</t>
  </si>
  <si>
    <t>Cruz</t>
  </si>
  <si>
    <t>Sophie</t>
  </si>
  <si>
    <t>Abbott</t>
  </si>
  <si>
    <t>Bathe</t>
  </si>
  <si>
    <t>Cortlyn</t>
  </si>
  <si>
    <t>Hefty</t>
  </si>
  <si>
    <t>Shanti</t>
  </si>
  <si>
    <t>Atkins</t>
  </si>
  <si>
    <t>Riebech</t>
  </si>
  <si>
    <t>Valentina</t>
  </si>
  <si>
    <t>Barrera</t>
  </si>
  <si>
    <t>Swords</t>
  </si>
  <si>
    <t>Madi</t>
  </si>
  <si>
    <t>Wright</t>
  </si>
  <si>
    <t>Carly</t>
  </si>
  <si>
    <t>Stinson</t>
  </si>
  <si>
    <t>Ava</t>
  </si>
  <si>
    <t>Gzym</t>
  </si>
  <si>
    <t>Dever</t>
  </si>
  <si>
    <t>PRE-SEASON VERTICAL JUMP - MASTER</t>
  </si>
  <si>
    <t>Fri 7.24 Avg (in)</t>
  </si>
  <si>
    <t>Mon 7.27 Avg (in)</t>
  </si>
  <si>
    <t>Thurs 7.30 Avg (in)</t>
  </si>
  <si>
    <t>Mon 8.3 Avg (in)</t>
  </si>
  <si>
    <t>Thurs 8.6 Avg (in)</t>
  </si>
  <si>
    <t>Tues 8.11 Avg (in)</t>
  </si>
  <si>
    <t>Match Key</t>
  </si>
  <si>
    <t>Latest Date</t>
  </si>
  <si>
    <t>PRE-SEASON LIFT 1</t>
  </si>
  <si>
    <t>Jump 1 (in)</t>
  </si>
  <si>
    <t>Jump 2 (in)</t>
  </si>
  <si>
    <t>Jump 3 (in)</t>
  </si>
  <si>
    <t>Avg Jump (in)</t>
  </si>
  <si>
    <t>Alicia </t>
  </si>
  <si>
    <t>Sikorski </t>
  </si>
  <si>
    <t>Hayleigh </t>
  </si>
  <si>
    <t>Kyleigh </t>
  </si>
  <si>
    <t>Liv</t>
  </si>
  <si>
    <t>Nikki </t>
  </si>
  <si>
    <t>Oliva</t>
  </si>
  <si>
    <t>Ruari </t>
  </si>
  <si>
    <t>Auzenne </t>
  </si>
  <si>
    <t>Summer </t>
  </si>
  <si>
    <t>True</t>
  </si>
  <si>
    <t>PRE-SEASON LIFT 2</t>
  </si>
  <si>
    <t>PRE-SEASON LIFT 3</t>
  </si>
  <si>
    <t>PRE-SEASON LIFT 4</t>
  </si>
  <si>
    <t>PRE-SEASON LIFT 5</t>
  </si>
  <si>
    <t>PRE-SEASON LIFT 6</t>
  </si>
  <si>
    <t>Athlete 1</t>
  </si>
  <si>
    <t>Athlete 2</t>
  </si>
  <si>
    <t>Athlete 3</t>
  </si>
  <si>
    <t>Athlete 4</t>
  </si>
  <si>
    <t>Athlete 5</t>
  </si>
  <si>
    <t>Athlete 6</t>
  </si>
  <si>
    <t>Athlete 7</t>
  </si>
  <si>
    <t>Athlete 8</t>
  </si>
  <si>
    <t>Athlete 9</t>
  </si>
  <si>
    <t>Athlete 10</t>
  </si>
  <si>
    <t>Athlete 11</t>
  </si>
  <si>
    <t>Athlete 12</t>
  </si>
  <si>
    <t>Athlete 13</t>
  </si>
  <si>
    <t>Athlete 14</t>
  </si>
  <si>
    <t>Athlete 15</t>
  </si>
  <si>
    <t>Athlete 16</t>
  </si>
  <si>
    <t>Athlete 17</t>
  </si>
  <si>
    <t>Athlete 18</t>
  </si>
  <si>
    <t>Athlete 19</t>
  </si>
  <si>
    <t>Athlete 20</t>
  </si>
  <si>
    <t>Athlete 21</t>
  </si>
  <si>
    <t>Athlete 22</t>
  </si>
  <si>
    <t>Athlete 23</t>
  </si>
  <si>
    <t>Athlete 24</t>
  </si>
  <si>
    <t>Athlete 25</t>
  </si>
  <si>
    <t>Athlete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</si>
</sst>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0.0"/>
  </numFmts>
  <fonts count="12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rgb="FF000000"/>
      <name val="Helvetica Neue"/>
      <family val="2"/>
    </font>
    <font>
      <b/>
      <sz val="12"/>
      <color rgb="FFFFFFFF"/>
      <name val="Aptos Narrow"/>
      <scheme val="minor"/>
    </font>
    <font>
      <sz val="12"/>
      <color rgb="FF000000"/>
      <name val="Aptos Narrow"/>
      <scheme val="minor"/>
    </font>
    <font>
      <sz val="8"/>
      <name val="Aptos Narrow"/>
      <family val="2"/>
      <scheme val="minor"/>
    </font>
    <font>
      <sz val="11"/>
      <color rgb="FF35322D"/>
      <name val="Roboto"/>
      <charset val="1"/>
    </font>
    <font>
      <sz val="12"/>
      <color rgb="FF000000"/>
      <name val="Aptos Narrow"/>
      <family val="2"/>
      <scheme val="minor"/>
    </font>
    <font>
      <sz val="11"/>
      <color rgb="FF35322D"/>
      <name val="Roboto"/>
    </font>
    <font>
      <sz val="12"/>
      <color rgb="FF1F1F1F"/>
      <name val="Arial"/>
      <family val="2"/>
    </font>
    <font>
      <sz val="12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96B2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D8D8D8"/>
      </bottom>
      <diagonal/>
    </border>
    <border>
      <left/>
      <right/>
      <top style="thin">
        <color rgb="FFD8D8D8"/>
      </top>
      <bottom/>
      <diagonal/>
    </border>
    <border>
      <left/>
      <right/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42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left" vertical="center"/>
    </xf>
    <xf numFmtId="0" fontId="3" fillId="0" borderId="0" xfId="0" applyFont="1"/>
    <xf numFmtId="49" fontId="3" fillId="0" borderId="0" xfId="0" applyNumberFormat="1" applyFont="1"/>
    <xf numFmtId="0" fontId="5" fillId="0" borderId="0" xfId="0" applyFont="1"/>
    <xf numFmtId="165" fontId="5" fillId="0" borderId="0" xfId="0" applyNumberFormat="1" applyFont="1"/>
    <xf numFmtId="0" fontId="5" fillId="3" borderId="0" xfId="0" applyFont="1" applyFill="1"/>
    <xf numFmtId="165" fontId="5" fillId="3" borderId="0" xfId="0" applyNumberFormat="1" applyFont="1" applyFill="1"/>
    <xf numFmtId="49" fontId="5" fillId="3" borderId="0" xfId="0" applyNumberFormat="1" applyFont="1" applyFill="1"/>
    <xf numFmtId="0" fontId="5" fillId="0" borderId="7" xfId="0" applyFont="1" applyBorder="1"/>
    <xf numFmtId="165" fontId="5" fillId="0" borderId="7" xfId="0" applyNumberFormat="1" applyFont="1" applyBorder="1"/>
    <xf numFmtId="0" fontId="4" fillId="2" borderId="8" xfId="0" applyFont="1" applyFill="1" applyBorder="1" applyAlignment="1">
      <alignment horizontal="left"/>
    </xf>
    <xf numFmtId="0" fontId="4" fillId="2" borderId="9" xfId="0" applyFont="1" applyFill="1" applyBorder="1" applyAlignment="1">
      <alignment horizontal="left"/>
    </xf>
    <xf numFmtId="0" fontId="4" fillId="2" borderId="10" xfId="0" applyFont="1" applyFill="1" applyBorder="1" applyAlignment="1">
      <alignment horizontal="left"/>
    </xf>
    <xf numFmtId="0" fontId="4" fillId="2" borderId="0" xfId="0" applyFont="1" applyFill="1" applyAlignment="1">
      <alignment horizontal="left"/>
    </xf>
    <xf numFmtId="0" fontId="2" fillId="0" borderId="0" xfId="0" applyFont="1" applyAlignment="1">
      <alignment horizontal="center"/>
    </xf>
    <xf numFmtId="14" fontId="0" fillId="0" borderId="0" xfId="0" applyNumberFormat="1"/>
    <xf numFmtId="14" fontId="5" fillId="0" borderId="0" xfId="0" applyNumberFormat="1" applyFont="1"/>
    <xf numFmtId="0" fontId="5" fillId="0" borderId="11" xfId="0" applyFont="1" applyBorder="1" applyAlignment="1">
      <alignment wrapText="1"/>
    </xf>
    <xf numFmtId="0" fontId="7" fillId="4" borderId="11" xfId="0" applyFont="1" applyFill="1" applyBorder="1" applyAlignment="1">
      <alignment wrapText="1"/>
    </xf>
    <xf numFmtId="0" fontId="7" fillId="5" borderId="11" xfId="0" applyFont="1" applyFill="1" applyBorder="1" applyAlignment="1">
      <alignment wrapText="1"/>
    </xf>
    <xf numFmtId="0" fontId="8" fillId="0" borderId="0" xfId="0" applyFont="1"/>
    <xf numFmtId="0" fontId="9" fillId="4" borderId="13" xfId="0" applyFont="1" applyFill="1" applyBorder="1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0" fontId="9" fillId="4" borderId="14" xfId="0" applyFont="1" applyFill="1" applyBorder="1" applyAlignment="1">
      <alignment horizontal="left" vertical="center" wrapText="1"/>
    </xf>
    <xf numFmtId="0" fontId="9" fillId="4" borderId="14" xfId="0" applyFont="1" applyFill="1" applyBorder="1" applyAlignment="1">
      <alignment vertical="center" wrapText="1"/>
    </xf>
    <xf numFmtId="0" fontId="9" fillId="4" borderId="13" xfId="0" applyFont="1" applyFill="1" applyBorder="1" applyAlignment="1">
      <alignment vertical="center" wrapText="1"/>
    </xf>
    <xf numFmtId="0" fontId="9" fillId="4" borderId="0" xfId="0" applyFont="1" applyFill="1" applyAlignment="1">
      <alignment vertical="center" wrapText="1"/>
    </xf>
    <xf numFmtId="0" fontId="10" fillId="0" borderId="15" xfId="0" applyFont="1" applyBorder="1" applyAlignment="1">
      <alignment horizontal="left" vertical="center" wrapText="1" indent="1" readingOrder="1"/>
    </xf>
    <xf numFmtId="0" fontId="11" fillId="0" borderId="0" xfId="0" applyFont="1" applyAlignment="1">
      <alignment vertical="center" readingOrder="1"/>
    </xf>
    <xf numFmtId="0" fontId="0" fillId="0" borderId="0" xfId="0" applyAlignment="1">
      <alignment vertical="center" readingOrder="1"/>
    </xf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5" fillId="0" borderId="0" xfId="0" applyFont="1" applyAlignment="1"/>
    <xf numFmtId="0" fontId="5" fillId="0" borderId="12" xfId="0" applyFont="1" applyBorder="1" applyAlignment="1"/>
  </cellXfs>
  <cellStyles count="1">
    <cellStyle name="Normal" xfId="0" builtinId="0"/>
  </cellStyles>
  <dxfs count="54"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4" formatCode="mm/dd/yyyy"/>
    </dxf>
    <dxf>
      <font>
        <strike val="0"/>
        <outline val="0"/>
        <shadow val="0"/>
        <u val="none"/>
        <vertAlign val="baseline"/>
        <sz val="11"/>
        <color rgb="FF000000"/>
        <name val="Helvetica Neue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rgb="FF000000"/>
        <name val="Helvetica Neue"/>
        <family val="2"/>
        <scheme val="none"/>
      </font>
    </dxf>
    <dxf>
      <border>
        <bottom style="thin">
          <color rgb="FF000000"/>
        </bottom>
      </border>
    </dxf>
    <dxf>
      <font>
        <b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4" formatCode="mm/dd/yyyy"/>
    </dxf>
    <dxf>
      <font>
        <strike val="0"/>
        <outline val="0"/>
        <shadow val="0"/>
        <u val="none"/>
        <vertAlign val="baseline"/>
        <sz val="11"/>
        <color rgb="FF000000"/>
        <name val="Helvetica Neue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rgb="FF000000"/>
        <name val="Helvetica Neue"/>
        <family val="2"/>
        <scheme val="none"/>
      </font>
    </dxf>
    <dxf>
      <border>
        <bottom style="thin">
          <color rgb="FF000000"/>
        </bottom>
      </border>
    </dxf>
    <dxf>
      <font>
        <b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4" formatCode="mm/dd/yyyy"/>
    </dxf>
    <dxf>
      <font>
        <strike val="0"/>
        <outline val="0"/>
        <shadow val="0"/>
        <u val="none"/>
        <vertAlign val="baseline"/>
        <sz val="11"/>
        <color rgb="FF000000"/>
        <name val="Helvetica Neue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rgb="FF000000"/>
        <name val="Helvetica Neue"/>
        <family val="2"/>
        <scheme val="none"/>
      </font>
    </dxf>
    <dxf>
      <border>
        <bottom style="thin">
          <color rgb="FF000000"/>
        </bottom>
      </border>
    </dxf>
    <dxf>
      <font>
        <b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4" formatCode="mm/dd/yyyy"/>
    </dxf>
    <dxf>
      <font>
        <strike val="0"/>
        <outline val="0"/>
        <shadow val="0"/>
        <u val="none"/>
        <vertAlign val="baseline"/>
        <sz val="11"/>
        <color rgb="FF000000"/>
        <name val="Helvetica Neue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rgb="FF000000"/>
        <name val="Helvetica Neue"/>
        <family val="2"/>
        <scheme val="none"/>
      </font>
    </dxf>
    <dxf>
      <border>
        <bottom style="thin">
          <color rgb="FF000000"/>
        </bottom>
      </border>
    </dxf>
    <dxf>
      <font>
        <b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4" formatCode="mm/dd/yyyy"/>
    </dxf>
    <dxf>
      <font>
        <strike val="0"/>
        <outline val="0"/>
        <shadow val="0"/>
        <u val="none"/>
        <vertAlign val="baseline"/>
        <sz val="11"/>
        <color rgb="FF000000"/>
        <name val="Helvetica Neue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rgb="FF000000"/>
        <name val="Helvetica Neue"/>
        <family val="2"/>
        <scheme val="none"/>
      </font>
    </dxf>
    <dxf>
      <border>
        <bottom style="thin">
          <color rgb="FF000000"/>
        </bottom>
      </border>
    </dxf>
    <dxf>
      <font>
        <b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4" formatCode="mm/dd/yyyy"/>
    </dxf>
    <dxf>
      <font>
        <strike val="0"/>
        <outline val="0"/>
        <shadow val="0"/>
        <u val="none"/>
        <vertAlign val="baseline"/>
        <sz val="11"/>
        <color rgb="FF000000"/>
        <name val="Helvetica Neue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rgb="FF000000"/>
        <name val="Helvetica Neue"/>
        <family val="2"/>
        <scheme val="none"/>
      </font>
    </dxf>
    <dxf>
      <border>
        <bottom style="thin">
          <color indexed="64"/>
        </bottom>
      </border>
    </dxf>
    <dxf>
      <font>
        <b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CD09F5-FACD-434B-BBC7-073DC4E2F9BA}" name="JumpData" displayName="JumpData" ref="A2:G28" totalsRowShown="0" headerRowDxfId="53" headerRowBorderDxfId="52">
  <autoFilter ref="A2:G28" xr:uid="{38CD09F5-FACD-434B-BBC7-073DC4E2F9BA}"/>
  <sortState xmlns:xlrd2="http://schemas.microsoft.com/office/spreadsheetml/2017/richdata2" ref="A3:G28">
    <sortCondition ref="A2:A28"/>
  </sortState>
  <tableColumns count="7">
    <tableColumn id="1" xr3:uid="{F848E110-8BD1-C447-922B-54A77397F4C7}" name="First Name" dataDxfId="51"/>
    <tableColumn id="2" xr3:uid="{670C9E9C-ED5B-3A4A-B3F7-53FCD93CCAF1}" name="Last Name" dataDxfId="50"/>
    <tableColumn id="3" xr3:uid="{0B07E9DB-8B41-F444-A3CD-38678882F1AF}" name="Date" dataDxfId="49"/>
    <tableColumn id="4" xr3:uid="{F2827BD0-04CA-6948-8B3D-5FD93E125D88}" name="Jump 1 (in)" dataDxfId="48"/>
    <tableColumn id="8" xr3:uid="{1144AC9E-1594-2B47-B2C3-4024C82F4FC4}" name="Jump 2 (in)" dataDxfId="47"/>
    <tableColumn id="9" xr3:uid="{6FB6AA65-954A-B843-82C8-DC4970463F1A}" name="Jump 3 (in)" dataDxfId="46"/>
    <tableColumn id="10" xr3:uid="{3EDD1B75-2AC1-1147-97EF-2D069F717D64}" name="Avg Jump (in)" dataDxfId="45">
      <calculatedColumnFormula>IFERROR(AVERAGE(JumpData[[#This Row],[Jump 1 (in)]:[Jump 3 (in)]]),"")</calculatedColumnFormula>
    </tableColumn>
  </tableColumns>
  <tableStyleInfo name="TableStyleMedium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066E91-62DB-0C4E-998B-DEB42F3AD0DC}" name="JumpData3" displayName="JumpData3" ref="A2:G28" totalsRowShown="0" headerRowDxfId="44" headerRowBorderDxfId="43">
  <autoFilter ref="A2:G28" xr:uid="{38CD09F5-FACD-434B-BBC7-073DC4E2F9BA}"/>
  <sortState xmlns:xlrd2="http://schemas.microsoft.com/office/spreadsheetml/2017/richdata2" ref="A3:G28">
    <sortCondition ref="A2:A28"/>
  </sortState>
  <tableColumns count="7">
    <tableColumn id="1" xr3:uid="{59B8A773-9F58-374A-B622-2CBCD0636E34}" name="First Name" dataDxfId="42"/>
    <tableColumn id="2" xr3:uid="{4523CD81-5B9F-084E-8DB3-19010B9E5345}" name="Last Name" dataDxfId="41"/>
    <tableColumn id="3" xr3:uid="{8CE11C9C-73D3-C644-9BFE-A0E9E3EFC981}" name="Date" dataDxfId="40"/>
    <tableColumn id="4" xr3:uid="{C0EE7967-1CFE-7448-B807-991458E9907B}" name="Jump 1 (in)" dataDxfId="39"/>
    <tableColumn id="8" xr3:uid="{47AFEA2B-37A2-AE4F-A5A3-989073AAC0B2}" name="Jump 2 (in)" dataDxfId="38"/>
    <tableColumn id="9" xr3:uid="{1E67C578-008D-684D-82A5-7CF0BC602C11}" name="Jump 3 (in)" dataDxfId="37"/>
    <tableColumn id="10" xr3:uid="{54C1777F-986C-7C40-A235-38B915853719}" name="Avg Jump (in)" dataDxfId="36">
      <calculatedColumnFormula>IF(COUNT(JumpData3[[#This Row],[Jump 1 (in)]:[Jump 3 (in)]])=0,"",AVERAGE(JumpData3[[#This Row],[Jump 1 (in)]:[Jump 3 (in)]]))</calculatedColumnFormula>
    </tableColumn>
  </tableColumns>
  <tableStyleInfo name="TableStyleMedium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95C6B94-4FE6-2E4F-8262-0C81132BE524}" name="JumpData35" displayName="JumpData35" ref="A2:G28" totalsRowShown="0" headerRowDxfId="35" headerRowBorderDxfId="34">
  <autoFilter ref="A2:G28" xr:uid="{38CD09F5-FACD-434B-BBC7-073DC4E2F9BA}"/>
  <sortState xmlns:xlrd2="http://schemas.microsoft.com/office/spreadsheetml/2017/richdata2" ref="A3:G28">
    <sortCondition ref="A2:A28"/>
  </sortState>
  <tableColumns count="7">
    <tableColumn id="1" xr3:uid="{18A77F1C-7C8E-2545-93E7-D4045B973028}" name="First Name" dataDxfId="33"/>
    <tableColumn id="2" xr3:uid="{AB816C49-150F-1347-A071-1415D988EA31}" name="Last Name" dataDxfId="32"/>
    <tableColumn id="3" xr3:uid="{C7035F7D-B423-FC43-B761-ECDDB223DCB7}" name="Date" dataDxfId="31"/>
    <tableColumn id="4" xr3:uid="{2CA4FE91-89D0-474A-AF15-4F56C1C4EAEF}" name="Jump 1 (in)" dataDxfId="30"/>
    <tableColumn id="8" xr3:uid="{D8BA06AE-CBF9-DD47-A6BC-BD1C411D0DE9}" name="Jump 2 (in)" dataDxfId="29"/>
    <tableColumn id="9" xr3:uid="{CD9AEFA3-D210-5042-9649-780EC7C9AB3A}" name="Jump 3 (in)" dataDxfId="28"/>
    <tableColumn id="10" xr3:uid="{17139E6F-6C25-FD42-99AE-88011B6BD4D6}" name="Avg Jump (in)" dataDxfId="27">
      <calculatedColumnFormula>IF(COUNT(JumpData35[[#This Row],[Jump 1 (in)]:[Jump 3 (in)]])=0,"",AVERAGE(JumpData35[[#This Row],[Jump 1 (in)]:[Jump 3 (in)]]))</calculatedColumnFormula>
    </tableColumn>
  </tableColumns>
  <tableStyleInfo name="TableStyleMedium1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B39B677-68F4-D445-A110-CD6DE0C26E58}" name="JumpData354" displayName="JumpData354" ref="A2:G28" totalsRowShown="0" headerRowDxfId="26" headerRowBorderDxfId="25">
  <autoFilter ref="A2:G28" xr:uid="{38CD09F5-FACD-434B-BBC7-073DC4E2F9BA}"/>
  <sortState xmlns:xlrd2="http://schemas.microsoft.com/office/spreadsheetml/2017/richdata2" ref="A3:G28">
    <sortCondition ref="A2:A28"/>
  </sortState>
  <tableColumns count="7">
    <tableColumn id="1" xr3:uid="{50E7983E-202A-B84E-8668-A76E6134DCE9}" name="First Name" dataDxfId="24"/>
    <tableColumn id="2" xr3:uid="{0B0C394C-EE19-034D-8292-9F90171B1770}" name="Last Name" dataDxfId="23"/>
    <tableColumn id="3" xr3:uid="{1739B5FC-8E11-5244-A2BC-E0662789EF70}" name="Date" dataDxfId="22"/>
    <tableColumn id="4" xr3:uid="{62B34FB3-91FB-C145-B06B-BF213B59A2F7}" name="Jump 1 (in)" dataDxfId="21"/>
    <tableColumn id="8" xr3:uid="{A70FC435-575A-BB4C-A9DF-E8B44C0CA7B7}" name="Jump 2 (in)" dataDxfId="20"/>
    <tableColumn id="9" xr3:uid="{D01A1487-2040-2849-81F3-60F443CE02E7}" name="Jump 3 (in)" dataDxfId="19"/>
    <tableColumn id="10" xr3:uid="{99964739-10F6-494A-B886-E652D774A5C8}" name="Avg Jump (in)" dataDxfId="18">
      <calculatedColumnFormula>IF(COUNT(JumpData354[[#This Row],[Jump 1 (in)]:[Jump 3 (in)]])=0,"",AVERAGE(JumpData354[[#This Row],[Jump 1 (in)]:[Jump 3 (in)]]))</calculatedColumnFormula>
    </tableColumn>
  </tableColumns>
  <tableStyleInfo name="TableStyleMedium1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3DC9D10-FAA9-9141-8A27-7D3193A70A4E}" name="JumpData3546" displayName="JumpData3546" ref="A2:G28" totalsRowShown="0" headerRowDxfId="17" headerRowBorderDxfId="16">
  <autoFilter ref="A2:G28" xr:uid="{38CD09F5-FACD-434B-BBC7-073DC4E2F9BA}"/>
  <sortState xmlns:xlrd2="http://schemas.microsoft.com/office/spreadsheetml/2017/richdata2" ref="A3:G28">
    <sortCondition ref="A2:A28"/>
  </sortState>
  <tableColumns count="7">
    <tableColumn id="1" xr3:uid="{D6464D29-555E-6E42-8DB5-9198187FDB7B}" name="First Name" dataDxfId="15"/>
    <tableColumn id="2" xr3:uid="{39A7FC47-17E3-5D4B-878E-BFAB7900FBB5}" name="Last Name" dataDxfId="14"/>
    <tableColumn id="3" xr3:uid="{689EC726-2843-3643-9754-24165252DEBB}" name="Date" dataDxfId="13"/>
    <tableColumn id="4" xr3:uid="{6FE9DCB8-6AFD-AC41-AFA8-3593E98F0CFE}" name="Jump 1 (in)" dataDxfId="12"/>
    <tableColumn id="8" xr3:uid="{7EDD755F-D6E0-FC42-A8E5-1D1DBC8BBBE4}" name="Jump 2 (in)" dataDxfId="11"/>
    <tableColumn id="9" xr3:uid="{41C599EC-C874-8041-B6AC-C6A6B0FDC55E}" name="Jump 3 (in)" dataDxfId="10"/>
    <tableColumn id="10" xr3:uid="{C2786612-9A96-F242-AA58-B0D8B24A7950}" name="Avg Jump (in)" dataDxfId="9">
      <calculatedColumnFormula>IF(COUNT(JumpData3546[[#This Row],[Jump 1 (in)]:[Jump 3 (in)]])=0,"",AVERAGE(JumpData3546[[#This Row],[Jump 1 (in)]:[Jump 3 (in)]]))</calculatedColumnFormula>
    </tableColumn>
  </tableColumns>
  <tableStyleInfo name="TableStyleMedium1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0A49074-FF1F-9D47-AA25-88A21B82E00C}" name="JumpData3547" displayName="JumpData3547" ref="A2:G28" totalsRowShown="0" headerRowDxfId="8" headerRowBorderDxfId="7">
  <autoFilter ref="A2:G28" xr:uid="{38CD09F5-FACD-434B-BBC7-073DC4E2F9BA}"/>
  <sortState xmlns:xlrd2="http://schemas.microsoft.com/office/spreadsheetml/2017/richdata2" ref="A3:G28">
    <sortCondition ref="A2:A28"/>
  </sortState>
  <tableColumns count="7">
    <tableColumn id="1" xr3:uid="{1341F3F2-F31E-3A44-A291-D6B6A0B8A64D}" name="First Name" dataDxfId="6"/>
    <tableColumn id="2" xr3:uid="{BECF6A12-2BE9-5646-BD6B-DAE8E733874C}" name="Last Name" dataDxfId="5"/>
    <tableColumn id="3" xr3:uid="{30F5FA2B-05E4-184A-BB82-65BC2823D4A5}" name="Date" dataDxfId="4"/>
    <tableColumn id="4" xr3:uid="{E892A45E-DB57-5C40-B3B3-8E4FEF7713A1}" name="Jump 1 (in)" dataDxfId="3"/>
    <tableColumn id="8" xr3:uid="{9BFFE5DD-AF05-364F-80D4-3B3D6C1CFDC1}" name="Jump 2 (in)" dataDxfId="2"/>
    <tableColumn id="9" xr3:uid="{FA7B7822-183E-8C4D-832E-C19855615FAE}" name="Jump 3 (in)" dataDxfId="1"/>
    <tableColumn id="10" xr3:uid="{37D817E7-28E6-5C41-A36F-3F769104D14C}" name="Avg Jump (in)" dataDxfId="0">
      <calculatedColumnFormula>IF(COUNT(JumpData3547[[#This Row],[Jump 1 (in)]:[Jump 3 (in)]])=0,"",AVERAGE(JumpData3547[[#This Row],[Jump 1 (in)]:[Jump 3 (in)]]))</calculatedColumnFormula>
    </tableColumn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1A1373B-9B87-7A41-B948-71D8B8A4C698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32696b4d-1ad1-4198-b0ac-8395fa2257c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35BE8-85DF-40EF-81BE-8FF56FF14745}">
  <dimension ref="A1:R1171"/>
  <sheetViews>
    <sheetView zoomScaleNormal="100" workbookViewId="0">
      <selection activeCell="G6" sqref="G6"/>
    </sheetView>
  </sheetViews>
  <sheetFormatPr defaultRowHeight="15.75"/>
  <cols>
    <col min="1" max="1" width="9" style="8"/>
    <col min="2" max="2" width="15.5" style="8" bestFit="1" customWidth="1"/>
    <col min="3" max="3" width="5.5" style="8" bestFit="1" customWidth="1"/>
    <col min="4" max="4" width="13.875" style="8" bestFit="1" customWidth="1"/>
    <col min="5" max="5" width="6.125" style="8" bestFit="1" customWidth="1"/>
    <col min="6" max="16384" width="9" style="8"/>
  </cols>
  <sheetData>
    <row r="1" spans="1: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6">
      <c r="A2" s="21">
        <v>46268</v>
      </c>
      <c r="B2" t="s">
        <v>81</v>
      </c>
      <c r="C2" s="8">
        <v>104</v>
      </c>
      <c r="D2" s="8">
        <v>301</v>
      </c>
      <c r="E2" s="8">
        <v>1.03</v>
      </c>
    </row>
    <row r="3" spans="1:6">
      <c r="A3" s="21">
        <v>46269</v>
      </c>
      <c r="B3" t="s">
        <v>81</v>
      </c>
      <c r="C3" s="8">
        <v>108</v>
      </c>
      <c r="D3" s="8">
        <v>302</v>
      </c>
      <c r="E3" s="8">
        <v>1.02</v>
      </c>
    </row>
    <row r="4" spans="1:6">
      <c r="A4" s="21">
        <v>46270</v>
      </c>
      <c r="B4" t="s">
        <v>81</v>
      </c>
      <c r="C4" s="22">
        <v>124</v>
      </c>
      <c r="D4" s="22">
        <v>313</v>
      </c>
      <c r="E4" s="22">
        <v>1.19</v>
      </c>
    </row>
    <row r="5" spans="1:6">
      <c r="A5" s="21">
        <v>46271</v>
      </c>
      <c r="B5" t="s">
        <v>81</v>
      </c>
      <c r="C5" s="22">
        <v>117</v>
      </c>
      <c r="D5" s="22">
        <v>319</v>
      </c>
      <c r="E5" s="22">
        <v>1.08</v>
      </c>
    </row>
    <row r="6" spans="1:6">
      <c r="A6" s="21">
        <v>46272</v>
      </c>
      <c r="B6" t="s">
        <v>81</v>
      </c>
      <c r="C6" s="22">
        <v>139</v>
      </c>
      <c r="D6" s="22">
        <v>329</v>
      </c>
      <c r="E6" s="8">
        <v>1.1000000000000001</v>
      </c>
    </row>
    <row r="7" spans="1:6">
      <c r="A7" s="21">
        <v>46273</v>
      </c>
      <c r="B7" t="s">
        <v>81</v>
      </c>
      <c r="C7" s="23">
        <v>151</v>
      </c>
      <c r="D7" s="23">
        <v>357</v>
      </c>
      <c r="E7" s="23">
        <v>1.21</v>
      </c>
      <c r="F7" s="23"/>
    </row>
    <row r="8" spans="1:6">
      <c r="A8" s="21">
        <v>46274</v>
      </c>
      <c r="B8" t="s">
        <v>81</v>
      </c>
      <c r="C8" s="23">
        <v>143</v>
      </c>
      <c r="D8" s="23">
        <v>382</v>
      </c>
      <c r="E8" s="23">
        <v>1.1399999999999999</v>
      </c>
    </row>
    <row r="9" spans="1:6">
      <c r="A9" s="21">
        <v>46268</v>
      </c>
      <c r="B9" t="s">
        <v>81</v>
      </c>
      <c r="C9" s="8">
        <v>166</v>
      </c>
      <c r="D9" s="8">
        <v>404</v>
      </c>
      <c r="E9" s="8">
        <v>1.1100000000000001</v>
      </c>
    </row>
    <row r="10" spans="1:6">
      <c r="A10" s="21">
        <v>46269</v>
      </c>
      <c r="B10" t="s">
        <v>81</v>
      </c>
      <c r="C10" s="8">
        <v>158</v>
      </c>
      <c r="D10" s="8">
        <v>391</v>
      </c>
      <c r="E10" s="8">
        <v>1.27</v>
      </c>
    </row>
    <row r="11" spans="1:6">
      <c r="A11" s="21">
        <v>46270</v>
      </c>
      <c r="B11" t="s">
        <v>81</v>
      </c>
      <c r="C11" s="22">
        <v>181</v>
      </c>
      <c r="D11" s="22">
        <v>422</v>
      </c>
      <c r="E11" s="22">
        <v>1.34</v>
      </c>
    </row>
    <row r="12" spans="1:6">
      <c r="A12" s="21">
        <v>46271</v>
      </c>
      <c r="B12" t="s">
        <v>81</v>
      </c>
      <c r="C12" s="22">
        <v>194</v>
      </c>
      <c r="D12" s="22">
        <v>418</v>
      </c>
      <c r="E12" s="22">
        <v>1.33</v>
      </c>
    </row>
    <row r="13" spans="1:6">
      <c r="A13" s="21">
        <v>46272</v>
      </c>
      <c r="B13" t="s">
        <v>81</v>
      </c>
      <c r="C13" s="22">
        <v>183</v>
      </c>
      <c r="D13" s="22">
        <v>438</v>
      </c>
      <c r="E13" s="8">
        <v>1.1299999999999999</v>
      </c>
    </row>
    <row r="14" spans="1:6">
      <c r="A14" s="21">
        <v>46273</v>
      </c>
      <c r="B14" t="s">
        <v>81</v>
      </c>
      <c r="C14" s="23">
        <v>207</v>
      </c>
      <c r="D14" s="23">
        <v>464</v>
      </c>
      <c r="E14" s="23">
        <v>1.1000000000000001</v>
      </c>
    </row>
    <row r="15" spans="1:6">
      <c r="A15" s="21">
        <v>46274</v>
      </c>
      <c r="B15" t="s">
        <v>81</v>
      </c>
      <c r="C15" s="23">
        <v>219</v>
      </c>
      <c r="D15" s="23">
        <v>442</v>
      </c>
      <c r="E15" s="23">
        <v>1.1299999999999999</v>
      </c>
    </row>
    <row r="16" spans="1:6">
      <c r="A16" s="21">
        <v>46268</v>
      </c>
      <c r="B16" t="s">
        <v>81</v>
      </c>
      <c r="C16" s="8">
        <v>212</v>
      </c>
      <c r="D16" s="8">
        <v>470</v>
      </c>
      <c r="E16" s="8">
        <v>1.43</v>
      </c>
    </row>
    <row r="17" spans="1:5">
      <c r="A17" s="21">
        <v>46269</v>
      </c>
      <c r="B17" t="s">
        <v>81</v>
      </c>
      <c r="C17" s="8">
        <v>235</v>
      </c>
      <c r="D17" s="8">
        <v>511</v>
      </c>
      <c r="E17" s="8">
        <v>1.62</v>
      </c>
    </row>
    <row r="18" spans="1:5">
      <c r="A18" s="21">
        <v>46270</v>
      </c>
      <c r="B18" t="s">
        <v>81</v>
      </c>
      <c r="C18" s="22">
        <v>228</v>
      </c>
      <c r="D18" s="22">
        <v>484</v>
      </c>
      <c r="E18" s="22">
        <v>1.62</v>
      </c>
    </row>
    <row r="19" spans="1:5">
      <c r="A19" s="21">
        <v>46271</v>
      </c>
      <c r="B19" t="s">
        <v>81</v>
      </c>
      <c r="C19" s="22">
        <v>251</v>
      </c>
      <c r="D19" s="22">
        <v>524</v>
      </c>
      <c r="E19" s="22">
        <v>1.76</v>
      </c>
    </row>
    <row r="20" spans="1:5">
      <c r="A20" s="21">
        <v>46272</v>
      </c>
      <c r="B20" t="s">
        <v>81</v>
      </c>
      <c r="C20" s="22">
        <v>264</v>
      </c>
      <c r="D20" s="22">
        <v>519</v>
      </c>
      <c r="E20" s="8">
        <v>1.82</v>
      </c>
    </row>
    <row r="21" spans="1:5">
      <c r="A21" s="21">
        <v>46273</v>
      </c>
      <c r="B21" t="s">
        <v>81</v>
      </c>
      <c r="C21" s="23">
        <v>253</v>
      </c>
      <c r="D21" s="23">
        <v>532</v>
      </c>
      <c r="E21" s="23">
        <v>1.63</v>
      </c>
    </row>
    <row r="22" spans="1:5">
      <c r="A22" s="21">
        <v>46274</v>
      </c>
      <c r="B22" t="s">
        <v>81</v>
      </c>
      <c r="C22" s="23">
        <v>277</v>
      </c>
      <c r="D22" s="23">
        <v>557</v>
      </c>
      <c r="E22" s="23">
        <v>1.51</v>
      </c>
    </row>
    <row r="23" spans="1:5">
      <c r="A23" s="21">
        <v>46268</v>
      </c>
      <c r="B23" t="s">
        <v>81</v>
      </c>
      <c r="C23" s="8">
        <v>289</v>
      </c>
      <c r="D23" s="8">
        <v>561</v>
      </c>
      <c r="E23" s="8">
        <v>1.84</v>
      </c>
    </row>
    <row r="24" spans="1:5">
      <c r="A24" s="21">
        <v>46269</v>
      </c>
      <c r="B24" t="s">
        <v>81</v>
      </c>
      <c r="C24" s="8">
        <v>281</v>
      </c>
      <c r="D24" s="8">
        <v>580</v>
      </c>
      <c r="E24" s="8">
        <v>1.85</v>
      </c>
    </row>
    <row r="25" spans="1:5">
      <c r="A25" s="21">
        <v>46270</v>
      </c>
      <c r="B25" t="s">
        <v>81</v>
      </c>
      <c r="C25" s="22">
        <v>305</v>
      </c>
      <c r="D25" s="22">
        <v>619</v>
      </c>
      <c r="E25" s="22">
        <v>2.08</v>
      </c>
    </row>
    <row r="26" spans="1:5">
      <c r="A26" s="21">
        <v>46271</v>
      </c>
      <c r="B26" t="s">
        <v>81</v>
      </c>
      <c r="C26" s="22">
        <v>298</v>
      </c>
      <c r="D26" s="22">
        <v>636</v>
      </c>
      <c r="E26" s="22">
        <v>1.7</v>
      </c>
    </row>
    <row r="27" spans="1:5">
      <c r="A27" s="21">
        <v>46272</v>
      </c>
      <c r="B27" t="s">
        <v>81</v>
      </c>
      <c r="C27" s="22">
        <v>321</v>
      </c>
      <c r="D27" s="22">
        <v>644</v>
      </c>
      <c r="E27" s="8">
        <v>1.97</v>
      </c>
    </row>
    <row r="28" spans="1:5">
      <c r="A28" s="21">
        <v>46273</v>
      </c>
      <c r="B28" t="s">
        <v>81</v>
      </c>
      <c r="C28" s="23">
        <v>334</v>
      </c>
      <c r="D28" s="23">
        <v>656</v>
      </c>
      <c r="E28" s="23">
        <v>2.0499999999999998</v>
      </c>
    </row>
    <row r="29" spans="1:5">
      <c r="A29" s="21">
        <v>46274</v>
      </c>
      <c r="B29" t="s">
        <v>81</v>
      </c>
      <c r="C29" s="23">
        <v>323</v>
      </c>
      <c r="D29" s="23">
        <v>636</v>
      </c>
      <c r="E29" s="23">
        <v>1.8</v>
      </c>
    </row>
    <row r="30" spans="1:5">
      <c r="A30" s="21">
        <v>46268</v>
      </c>
      <c r="B30" t="s">
        <v>81</v>
      </c>
      <c r="C30" s="8">
        <v>347</v>
      </c>
      <c r="D30" s="8">
        <v>653</v>
      </c>
      <c r="E30" s="8">
        <v>1.87</v>
      </c>
    </row>
    <row r="31" spans="1:5">
      <c r="A31" s="21">
        <v>46269</v>
      </c>
      <c r="B31" t="s">
        <v>81</v>
      </c>
      <c r="C31" s="8">
        <v>359</v>
      </c>
      <c r="D31" s="8">
        <v>697</v>
      </c>
      <c r="E31" s="8">
        <v>2.06</v>
      </c>
    </row>
    <row r="32" spans="1:5">
      <c r="A32" s="21">
        <v>46270</v>
      </c>
      <c r="B32" t="s">
        <v>81</v>
      </c>
      <c r="C32" s="22">
        <v>351</v>
      </c>
      <c r="D32" s="22">
        <v>675</v>
      </c>
      <c r="E32" s="22">
        <v>2.21</v>
      </c>
    </row>
    <row r="33" spans="1:5">
      <c r="A33" s="21">
        <v>46271</v>
      </c>
      <c r="B33" t="s">
        <v>81</v>
      </c>
      <c r="C33" s="22">
        <v>375</v>
      </c>
      <c r="D33" s="22">
        <v>714</v>
      </c>
      <c r="E33" s="22">
        <v>1.9</v>
      </c>
    </row>
    <row r="34" spans="1:5">
      <c r="A34" s="21">
        <v>46272</v>
      </c>
      <c r="B34" t="s">
        <v>81</v>
      </c>
      <c r="C34" s="22">
        <v>368</v>
      </c>
      <c r="D34" s="22">
        <v>719</v>
      </c>
      <c r="E34" s="8">
        <v>1.93</v>
      </c>
    </row>
    <row r="35" spans="1:5">
      <c r="A35" s="21">
        <v>46273</v>
      </c>
      <c r="B35" t="s">
        <v>81</v>
      </c>
      <c r="C35" s="23">
        <v>391</v>
      </c>
      <c r="D35" s="23">
        <v>727</v>
      </c>
      <c r="E35" s="23">
        <v>1.96</v>
      </c>
    </row>
    <row r="36" spans="1:5">
      <c r="A36" s="21">
        <v>46274</v>
      </c>
      <c r="B36" t="s">
        <v>81</v>
      </c>
      <c r="C36" s="23">
        <v>404</v>
      </c>
      <c r="D36" s="23">
        <v>732</v>
      </c>
      <c r="E36" s="23">
        <v>2.21</v>
      </c>
    </row>
    <row r="37" spans="1:5">
      <c r="A37" s="21">
        <v>46268</v>
      </c>
      <c r="B37" t="s">
        <v>81</v>
      </c>
      <c r="C37" s="8">
        <v>393</v>
      </c>
      <c r="D37" s="8">
        <v>765</v>
      </c>
      <c r="E37" s="8">
        <v>2.14</v>
      </c>
    </row>
    <row r="38" spans="1:5">
      <c r="A38" s="21">
        <v>46269</v>
      </c>
      <c r="B38" t="s">
        <v>81</v>
      </c>
      <c r="C38" s="8">
        <v>417</v>
      </c>
      <c r="D38" s="8">
        <v>785</v>
      </c>
      <c r="E38" s="8">
        <v>2.0099999999999998</v>
      </c>
    </row>
    <row r="39" spans="1:5">
      <c r="A39" s="21">
        <v>46270</v>
      </c>
      <c r="B39" t="s">
        <v>81</v>
      </c>
      <c r="C39" s="22">
        <v>429</v>
      </c>
      <c r="D39" s="22">
        <v>777</v>
      </c>
      <c r="E39" s="22">
        <v>2.4700000000000002</v>
      </c>
    </row>
    <row r="40" spans="1:5">
      <c r="A40" s="21">
        <v>46271</v>
      </c>
      <c r="B40" t="s">
        <v>81</v>
      </c>
      <c r="C40" s="22">
        <v>421</v>
      </c>
      <c r="D40" s="22">
        <v>818</v>
      </c>
      <c r="E40" s="22">
        <v>2.16</v>
      </c>
    </row>
    <row r="41" spans="1:5">
      <c r="A41" s="21">
        <v>46272</v>
      </c>
      <c r="B41" t="s">
        <v>81</v>
      </c>
      <c r="C41" s="22">
        <v>445</v>
      </c>
      <c r="D41" s="22">
        <v>838</v>
      </c>
      <c r="E41" s="8">
        <v>2.14</v>
      </c>
    </row>
    <row r="42" spans="1:5">
      <c r="A42" s="21">
        <v>46273</v>
      </c>
      <c r="B42" t="s">
        <v>81</v>
      </c>
      <c r="C42" s="23">
        <v>438</v>
      </c>
      <c r="D42" s="23">
        <v>811</v>
      </c>
      <c r="E42" s="23">
        <v>2.2599999999999998</v>
      </c>
    </row>
    <row r="43" spans="1:5">
      <c r="A43" s="21">
        <v>46274</v>
      </c>
      <c r="B43" t="s">
        <v>81</v>
      </c>
      <c r="C43" s="23">
        <v>461</v>
      </c>
      <c r="D43" s="23">
        <v>830</v>
      </c>
      <c r="E43" s="23">
        <v>2.25</v>
      </c>
    </row>
    <row r="44" spans="1:5">
      <c r="A44" s="21">
        <v>46268</v>
      </c>
      <c r="B44" t="s">
        <v>81</v>
      </c>
      <c r="C44" s="8">
        <v>474</v>
      </c>
      <c r="D44" s="8">
        <v>843</v>
      </c>
      <c r="E44" s="8">
        <v>2.2799999999999998</v>
      </c>
    </row>
    <row r="45" spans="1:5">
      <c r="A45" s="21">
        <v>46269</v>
      </c>
      <c r="B45" t="s">
        <v>81</v>
      </c>
      <c r="C45" s="8">
        <v>463</v>
      </c>
      <c r="D45" s="8">
        <v>860</v>
      </c>
      <c r="E45" s="8">
        <v>2.41</v>
      </c>
    </row>
    <row r="46" spans="1:5">
      <c r="A46" s="21">
        <v>46270</v>
      </c>
      <c r="B46" t="s">
        <v>81</v>
      </c>
      <c r="C46" s="22">
        <v>487</v>
      </c>
      <c r="D46" s="22">
        <v>908</v>
      </c>
      <c r="E46" s="22">
        <v>2.63</v>
      </c>
    </row>
    <row r="47" spans="1:5">
      <c r="A47" s="21">
        <v>46271</v>
      </c>
      <c r="B47" t="s">
        <v>90</v>
      </c>
      <c r="C47" s="22">
        <v>495</v>
      </c>
      <c r="D47" s="22">
        <v>889</v>
      </c>
      <c r="E47" s="22">
        <v>0.74</v>
      </c>
    </row>
    <row r="48" spans="1:5">
      <c r="A48" s="21">
        <v>46272</v>
      </c>
      <c r="B48" t="s">
        <v>90</v>
      </c>
      <c r="C48" s="22">
        <v>102</v>
      </c>
      <c r="D48" s="22">
        <v>300</v>
      </c>
      <c r="E48" s="8">
        <v>0.92</v>
      </c>
    </row>
    <row r="49" spans="1:5">
      <c r="A49" s="21">
        <v>46273</v>
      </c>
      <c r="B49" t="s">
        <v>90</v>
      </c>
      <c r="C49" s="23">
        <v>119</v>
      </c>
      <c r="D49" s="23">
        <v>326</v>
      </c>
      <c r="E49" s="23">
        <v>1.01</v>
      </c>
    </row>
    <row r="50" spans="1:5">
      <c r="A50" s="21">
        <v>46274</v>
      </c>
      <c r="B50" t="s">
        <v>90</v>
      </c>
      <c r="C50" s="23">
        <v>111</v>
      </c>
      <c r="D50" s="23">
        <v>342</v>
      </c>
      <c r="E50" s="23">
        <v>0.79</v>
      </c>
    </row>
    <row r="51" spans="1:5">
      <c r="A51" s="21">
        <v>46268</v>
      </c>
      <c r="B51" t="s">
        <v>90</v>
      </c>
      <c r="C51" s="8">
        <v>135</v>
      </c>
      <c r="D51" s="8">
        <v>350</v>
      </c>
      <c r="E51" s="8">
        <v>0.84</v>
      </c>
    </row>
    <row r="52" spans="1:5">
      <c r="A52" s="21">
        <v>46269</v>
      </c>
      <c r="B52" t="s">
        <v>90</v>
      </c>
      <c r="C52" s="8">
        <v>147</v>
      </c>
      <c r="D52" s="8">
        <v>389</v>
      </c>
      <c r="E52" s="8">
        <v>0.89</v>
      </c>
    </row>
    <row r="53" spans="1:5">
      <c r="A53" s="21">
        <v>46270</v>
      </c>
      <c r="B53" t="s">
        <v>90</v>
      </c>
      <c r="C53" s="22">
        <v>139</v>
      </c>
      <c r="D53" s="22">
        <v>364</v>
      </c>
      <c r="E53" s="22">
        <v>1.25</v>
      </c>
    </row>
    <row r="54" spans="1:5">
      <c r="A54" s="21">
        <v>46271</v>
      </c>
      <c r="B54" t="s">
        <v>90</v>
      </c>
      <c r="C54" s="22">
        <v>161</v>
      </c>
      <c r="D54" s="22">
        <v>415</v>
      </c>
      <c r="E54" s="22">
        <v>0.91</v>
      </c>
    </row>
    <row r="55" spans="1:5">
      <c r="A55" s="21">
        <v>46272</v>
      </c>
      <c r="B55" t="s">
        <v>90</v>
      </c>
      <c r="C55" s="22">
        <v>154</v>
      </c>
      <c r="D55" s="22">
        <v>427</v>
      </c>
      <c r="E55" s="8">
        <v>1.2</v>
      </c>
    </row>
    <row r="56" spans="1:5">
      <c r="A56" s="21">
        <v>46273</v>
      </c>
      <c r="B56" t="s">
        <v>90</v>
      </c>
      <c r="C56" s="23">
        <v>177</v>
      </c>
      <c r="D56" s="23">
        <v>415</v>
      </c>
      <c r="E56" s="23">
        <v>0.9</v>
      </c>
    </row>
    <row r="57" spans="1:5">
      <c r="A57" s="21">
        <v>46274</v>
      </c>
      <c r="B57" t="s">
        <v>90</v>
      </c>
      <c r="C57" s="23">
        <v>190</v>
      </c>
      <c r="D57" s="23">
        <v>445</v>
      </c>
      <c r="E57" s="23">
        <v>1.05</v>
      </c>
    </row>
    <row r="58" spans="1:5">
      <c r="A58" s="21">
        <v>46268</v>
      </c>
      <c r="B58" t="s">
        <v>90</v>
      </c>
      <c r="C58" s="8">
        <v>179</v>
      </c>
      <c r="D58" s="8">
        <v>435</v>
      </c>
      <c r="E58" s="8">
        <v>1.25</v>
      </c>
    </row>
    <row r="59" spans="1:5">
      <c r="A59" s="21">
        <v>46269</v>
      </c>
      <c r="B59" t="s">
        <v>90</v>
      </c>
      <c r="C59" s="8">
        <v>203</v>
      </c>
      <c r="D59" s="8">
        <v>464</v>
      </c>
      <c r="E59" s="8">
        <v>1.01</v>
      </c>
    </row>
    <row r="60" spans="1:5">
      <c r="A60" s="21">
        <v>46270</v>
      </c>
      <c r="B60" t="s">
        <v>90</v>
      </c>
      <c r="C60" s="8">
        <v>215</v>
      </c>
      <c r="D60" s="8">
        <v>484</v>
      </c>
      <c r="E60" s="8">
        <v>1.07</v>
      </c>
    </row>
    <row r="61" spans="1:5">
      <c r="A61" s="21">
        <v>46271</v>
      </c>
      <c r="B61" t="s">
        <v>90</v>
      </c>
      <c r="C61" s="8">
        <v>207</v>
      </c>
      <c r="D61" s="8">
        <v>482</v>
      </c>
      <c r="E61" s="8">
        <v>1.31</v>
      </c>
    </row>
    <row r="62" spans="1:5">
      <c r="A62" s="21">
        <v>46272</v>
      </c>
      <c r="B62" t="s">
        <v>90</v>
      </c>
      <c r="C62" s="8">
        <v>231</v>
      </c>
      <c r="D62" s="8">
        <v>493</v>
      </c>
      <c r="E62" s="8">
        <v>1.03</v>
      </c>
    </row>
    <row r="63" spans="1:5">
      <c r="A63" s="21">
        <v>46273</v>
      </c>
      <c r="B63" t="s">
        <v>90</v>
      </c>
      <c r="C63" s="8">
        <v>224</v>
      </c>
      <c r="D63" s="8">
        <v>542</v>
      </c>
      <c r="E63" s="8">
        <v>1.41</v>
      </c>
    </row>
    <row r="64" spans="1:5">
      <c r="A64" s="21">
        <v>46274</v>
      </c>
      <c r="B64" t="s">
        <v>90</v>
      </c>
      <c r="C64" s="8">
        <v>247</v>
      </c>
      <c r="D64" s="8">
        <v>519</v>
      </c>
      <c r="E64" s="8">
        <v>1.33</v>
      </c>
    </row>
    <row r="65" spans="1:5">
      <c r="A65" s="21">
        <v>46268</v>
      </c>
      <c r="B65" t="s">
        <v>90</v>
      </c>
      <c r="C65" s="8">
        <v>260</v>
      </c>
      <c r="D65" s="8">
        <v>554</v>
      </c>
      <c r="E65" s="8">
        <v>1.21</v>
      </c>
    </row>
    <row r="66" spans="1:5">
      <c r="A66" s="21">
        <v>46269</v>
      </c>
      <c r="B66" t="s">
        <v>90</v>
      </c>
      <c r="C66" s="8">
        <v>249</v>
      </c>
      <c r="D66" s="8">
        <v>542</v>
      </c>
      <c r="E66" s="8">
        <v>1.03</v>
      </c>
    </row>
    <row r="67" spans="1:5">
      <c r="A67" s="21">
        <v>46270</v>
      </c>
      <c r="B67" t="s">
        <v>90</v>
      </c>
      <c r="C67" s="22">
        <v>273</v>
      </c>
      <c r="D67" s="22">
        <v>597</v>
      </c>
      <c r="E67" s="22">
        <v>1.04</v>
      </c>
    </row>
    <row r="68" spans="1:5">
      <c r="A68" s="21">
        <v>46271</v>
      </c>
      <c r="B68" t="s">
        <v>90</v>
      </c>
      <c r="C68" s="22">
        <v>285</v>
      </c>
      <c r="D68" s="22">
        <v>611</v>
      </c>
      <c r="E68" s="22">
        <v>1.3</v>
      </c>
    </row>
    <row r="69" spans="1:5">
      <c r="A69" s="21">
        <v>46272</v>
      </c>
      <c r="B69" t="s">
        <v>90</v>
      </c>
      <c r="C69" s="22">
        <v>277</v>
      </c>
      <c r="D69" s="22">
        <v>613</v>
      </c>
      <c r="E69" s="8">
        <v>1.31</v>
      </c>
    </row>
    <row r="70" spans="1:5">
      <c r="A70" s="21">
        <v>46273</v>
      </c>
      <c r="B70" t="s">
        <v>90</v>
      </c>
      <c r="C70" s="23">
        <v>301</v>
      </c>
      <c r="D70" s="23">
        <v>621</v>
      </c>
      <c r="E70" s="23">
        <v>1.0900000000000001</v>
      </c>
    </row>
    <row r="71" spans="1:5">
      <c r="A71" s="21">
        <v>46274</v>
      </c>
      <c r="B71" t="s">
        <v>90</v>
      </c>
      <c r="C71" s="23">
        <v>294</v>
      </c>
      <c r="D71" s="23">
        <v>624</v>
      </c>
      <c r="E71" s="23">
        <v>1.38</v>
      </c>
    </row>
    <row r="72" spans="1:5">
      <c r="A72" s="21">
        <v>46268</v>
      </c>
      <c r="B72" t="s">
        <v>90</v>
      </c>
      <c r="C72" s="8">
        <v>317</v>
      </c>
      <c r="D72" s="8">
        <v>624</v>
      </c>
      <c r="E72" s="8">
        <v>1.29</v>
      </c>
    </row>
    <row r="73" spans="1:5">
      <c r="A73" s="21">
        <v>46269</v>
      </c>
      <c r="B73" t="s">
        <v>90</v>
      </c>
      <c r="C73" s="8">
        <v>330</v>
      </c>
      <c r="D73" s="8">
        <v>642</v>
      </c>
      <c r="E73" s="8">
        <v>1.38</v>
      </c>
    </row>
    <row r="74" spans="1:5">
      <c r="A74" s="21">
        <v>46270</v>
      </c>
      <c r="B74" t="s">
        <v>90</v>
      </c>
      <c r="C74" s="22">
        <v>319</v>
      </c>
      <c r="D74" s="22">
        <v>659</v>
      </c>
      <c r="E74" s="22">
        <v>1.36</v>
      </c>
    </row>
    <row r="75" spans="1:5">
      <c r="A75" s="21">
        <v>46271</v>
      </c>
      <c r="B75" t="s">
        <v>90</v>
      </c>
      <c r="C75" s="22">
        <v>343</v>
      </c>
      <c r="D75" s="22">
        <v>668</v>
      </c>
      <c r="E75" s="22">
        <v>1.66</v>
      </c>
    </row>
    <row r="76" spans="1:5">
      <c r="A76" s="21">
        <v>46272</v>
      </c>
      <c r="B76" t="s">
        <v>90</v>
      </c>
      <c r="C76" s="22">
        <v>355</v>
      </c>
      <c r="D76" s="22">
        <v>707</v>
      </c>
      <c r="E76" s="8">
        <v>1.05</v>
      </c>
    </row>
    <row r="77" spans="1:5">
      <c r="A77" s="21">
        <v>46273</v>
      </c>
      <c r="B77" t="s">
        <v>90</v>
      </c>
      <c r="C77" s="23">
        <v>347</v>
      </c>
      <c r="D77" s="23">
        <v>717</v>
      </c>
      <c r="E77" s="23">
        <v>1.4</v>
      </c>
    </row>
    <row r="78" spans="1:5">
      <c r="A78" s="21">
        <v>46274</v>
      </c>
      <c r="B78" t="s">
        <v>90</v>
      </c>
      <c r="C78" s="23">
        <v>371</v>
      </c>
      <c r="D78" s="23">
        <v>732</v>
      </c>
      <c r="E78" s="23">
        <v>1.69</v>
      </c>
    </row>
    <row r="79" spans="1:5">
      <c r="A79" s="21">
        <v>46268</v>
      </c>
      <c r="B79" t="s">
        <v>90</v>
      </c>
      <c r="C79" s="8">
        <v>364</v>
      </c>
      <c r="D79" s="8">
        <v>753</v>
      </c>
      <c r="E79" s="8">
        <v>1.57</v>
      </c>
    </row>
    <row r="80" spans="1:5">
      <c r="A80" s="21">
        <v>46269</v>
      </c>
      <c r="B80" t="s">
        <v>90</v>
      </c>
      <c r="C80" s="8">
        <v>387</v>
      </c>
      <c r="D80" s="8">
        <v>750</v>
      </c>
      <c r="E80" s="8">
        <v>1.38</v>
      </c>
    </row>
    <row r="81" spans="1:5">
      <c r="A81" s="21">
        <v>46270</v>
      </c>
      <c r="B81" t="s">
        <v>90</v>
      </c>
      <c r="C81" s="22">
        <v>400</v>
      </c>
      <c r="D81" s="22">
        <v>780</v>
      </c>
      <c r="E81" s="22">
        <v>1.46</v>
      </c>
    </row>
    <row r="82" spans="1:5">
      <c r="A82" s="21">
        <v>46271</v>
      </c>
      <c r="B82" t="s">
        <v>90</v>
      </c>
      <c r="C82" s="22">
        <v>389</v>
      </c>
      <c r="D82" s="22">
        <v>761</v>
      </c>
      <c r="E82" s="22">
        <v>1.71</v>
      </c>
    </row>
    <row r="83" spans="1:5">
      <c r="A83" s="21">
        <v>46272</v>
      </c>
      <c r="B83" t="s">
        <v>90</v>
      </c>
      <c r="C83" s="22">
        <v>413</v>
      </c>
      <c r="D83" s="22">
        <v>774</v>
      </c>
      <c r="E83" s="8">
        <v>1.65</v>
      </c>
    </row>
    <row r="84" spans="1:5">
      <c r="A84" s="21">
        <v>46273</v>
      </c>
      <c r="B84" t="s">
        <v>90</v>
      </c>
      <c r="C84" s="23">
        <v>425</v>
      </c>
      <c r="D84" s="23">
        <v>829</v>
      </c>
      <c r="E84" s="23">
        <v>1.58</v>
      </c>
    </row>
    <row r="85" spans="1:5">
      <c r="A85" s="21">
        <v>46274</v>
      </c>
      <c r="B85" t="s">
        <v>90</v>
      </c>
      <c r="C85" s="23">
        <v>417</v>
      </c>
      <c r="D85" s="23">
        <v>830</v>
      </c>
      <c r="E85" s="23">
        <v>1.73</v>
      </c>
    </row>
    <row r="86" spans="1:5">
      <c r="A86" s="21">
        <v>46268</v>
      </c>
      <c r="B86" t="s">
        <v>90</v>
      </c>
      <c r="C86" s="8">
        <v>441</v>
      </c>
      <c r="D86" s="8">
        <v>835</v>
      </c>
      <c r="E86" s="8">
        <v>1.7</v>
      </c>
    </row>
    <row r="87" spans="1:5">
      <c r="A87" s="21">
        <v>46269</v>
      </c>
      <c r="B87" t="s">
        <v>90</v>
      </c>
      <c r="C87" s="8">
        <v>434</v>
      </c>
      <c r="D87" s="8">
        <v>840</v>
      </c>
      <c r="E87" s="8">
        <v>1.62</v>
      </c>
    </row>
    <row r="88" spans="1:5">
      <c r="A88" s="21">
        <v>46270</v>
      </c>
      <c r="B88" t="s">
        <v>90</v>
      </c>
      <c r="C88" s="22">
        <v>457</v>
      </c>
      <c r="D88" s="22">
        <v>850</v>
      </c>
      <c r="E88" s="22">
        <v>2.04</v>
      </c>
    </row>
    <row r="89" spans="1:5">
      <c r="A89" s="21">
        <v>46271</v>
      </c>
      <c r="B89" t="s">
        <v>90</v>
      </c>
      <c r="C89" s="22">
        <v>470</v>
      </c>
      <c r="D89" s="22">
        <v>860</v>
      </c>
      <c r="E89" s="22">
        <v>1.81</v>
      </c>
    </row>
    <row r="90" spans="1:5">
      <c r="A90" s="21">
        <v>46272</v>
      </c>
      <c r="B90" t="s">
        <v>90</v>
      </c>
      <c r="C90" s="22">
        <v>459</v>
      </c>
      <c r="D90" s="22">
        <v>872</v>
      </c>
      <c r="E90" s="8">
        <v>1.97</v>
      </c>
    </row>
    <row r="91" spans="1:5">
      <c r="A91" s="21">
        <v>46273</v>
      </c>
      <c r="B91" t="s">
        <v>90</v>
      </c>
      <c r="C91" s="23">
        <v>483</v>
      </c>
      <c r="D91" s="23">
        <v>926</v>
      </c>
      <c r="E91" s="23">
        <v>1.71</v>
      </c>
    </row>
    <row r="92" spans="1:5">
      <c r="A92" s="21">
        <v>46274</v>
      </c>
      <c r="B92" t="s">
        <v>91</v>
      </c>
      <c r="C92" s="23">
        <v>496</v>
      </c>
      <c r="D92" s="23">
        <v>903</v>
      </c>
      <c r="E92" s="23">
        <v>1.02</v>
      </c>
    </row>
    <row r="93" spans="1:5">
      <c r="A93" s="21">
        <v>46268</v>
      </c>
      <c r="B93" t="s">
        <v>91</v>
      </c>
      <c r="C93" s="8">
        <v>114</v>
      </c>
      <c r="D93" s="8">
        <v>354</v>
      </c>
      <c r="E93" s="8">
        <v>0.98</v>
      </c>
    </row>
    <row r="94" spans="1:5">
      <c r="A94" s="21">
        <v>46269</v>
      </c>
      <c r="B94" t="s">
        <v>91</v>
      </c>
      <c r="C94" s="8">
        <v>130</v>
      </c>
      <c r="D94" s="8">
        <v>334</v>
      </c>
      <c r="E94" s="8">
        <v>0.89</v>
      </c>
    </row>
    <row r="95" spans="1:5">
      <c r="A95" s="21">
        <v>46270</v>
      </c>
      <c r="B95" t="s">
        <v>91</v>
      </c>
      <c r="C95" s="22">
        <v>123</v>
      </c>
      <c r="D95" s="22">
        <v>365</v>
      </c>
      <c r="E95" s="22">
        <v>1</v>
      </c>
    </row>
    <row r="96" spans="1:5">
      <c r="A96" s="21">
        <v>46271</v>
      </c>
      <c r="B96" t="s">
        <v>91</v>
      </c>
      <c r="C96" s="22">
        <v>145</v>
      </c>
      <c r="D96" s="22">
        <v>394</v>
      </c>
      <c r="E96" s="22">
        <v>1.19</v>
      </c>
    </row>
    <row r="97" spans="1:5">
      <c r="A97" s="21">
        <v>46272</v>
      </c>
      <c r="B97" t="s">
        <v>91</v>
      </c>
      <c r="C97" s="22">
        <v>157</v>
      </c>
      <c r="D97" s="22">
        <v>372</v>
      </c>
      <c r="E97" s="8">
        <v>0.92</v>
      </c>
    </row>
    <row r="98" spans="1:5">
      <c r="A98" s="21">
        <v>46273</v>
      </c>
      <c r="B98" t="s">
        <v>91</v>
      </c>
      <c r="C98" s="23">
        <v>149</v>
      </c>
      <c r="D98" s="23">
        <v>419</v>
      </c>
      <c r="E98" s="23">
        <v>1.1200000000000001</v>
      </c>
    </row>
    <row r="99" spans="1:5">
      <c r="A99" s="21">
        <v>46274</v>
      </c>
      <c r="B99" t="s">
        <v>91</v>
      </c>
      <c r="C99" s="23">
        <v>172</v>
      </c>
      <c r="D99" s="23">
        <v>427</v>
      </c>
      <c r="E99" s="23">
        <v>1.35</v>
      </c>
    </row>
    <row r="100" spans="1:5">
      <c r="A100" s="21">
        <v>46268</v>
      </c>
      <c r="B100" t="s">
        <v>91</v>
      </c>
      <c r="C100" s="8">
        <v>164</v>
      </c>
      <c r="D100" s="8">
        <v>434</v>
      </c>
      <c r="E100" s="8">
        <v>1.28</v>
      </c>
    </row>
    <row r="101" spans="1:5">
      <c r="A101" s="21">
        <v>46269</v>
      </c>
      <c r="B101" t="s">
        <v>91</v>
      </c>
      <c r="C101" s="8">
        <v>187</v>
      </c>
      <c r="D101" s="8">
        <v>460</v>
      </c>
      <c r="E101" s="8">
        <v>1</v>
      </c>
    </row>
    <row r="102" spans="1:5">
      <c r="A102" s="21">
        <v>46270</v>
      </c>
      <c r="B102" t="s">
        <v>91</v>
      </c>
      <c r="C102" s="22">
        <v>200</v>
      </c>
      <c r="D102" s="22">
        <v>442</v>
      </c>
      <c r="E102" s="22">
        <v>1.43</v>
      </c>
    </row>
    <row r="103" spans="1:5">
      <c r="A103" s="21">
        <v>46271</v>
      </c>
      <c r="B103" t="s">
        <v>91</v>
      </c>
      <c r="C103" s="22">
        <v>189</v>
      </c>
      <c r="D103" s="22">
        <v>464</v>
      </c>
      <c r="E103" s="22">
        <v>1.07</v>
      </c>
    </row>
    <row r="104" spans="1:5">
      <c r="A104" s="21">
        <v>46272</v>
      </c>
      <c r="B104" t="s">
        <v>91</v>
      </c>
      <c r="C104" s="22">
        <v>213</v>
      </c>
      <c r="D104" s="22">
        <v>477</v>
      </c>
      <c r="E104" s="8">
        <v>0.95</v>
      </c>
    </row>
    <row r="105" spans="1:5">
      <c r="A105" s="21">
        <v>46273</v>
      </c>
      <c r="B105" t="s">
        <v>91</v>
      </c>
      <c r="C105" s="23">
        <v>225</v>
      </c>
      <c r="D105" s="23">
        <v>504</v>
      </c>
      <c r="E105" s="23">
        <v>1.21</v>
      </c>
    </row>
    <row r="106" spans="1:5">
      <c r="A106" s="21">
        <v>46274</v>
      </c>
      <c r="B106" t="s">
        <v>91</v>
      </c>
      <c r="C106" s="23">
        <v>217</v>
      </c>
      <c r="D106" s="23">
        <v>513</v>
      </c>
      <c r="E106" s="23">
        <v>1.45</v>
      </c>
    </row>
    <row r="107" spans="1:5">
      <c r="A107" s="21">
        <v>46268</v>
      </c>
      <c r="B107" t="s">
        <v>91</v>
      </c>
      <c r="C107" s="8">
        <v>241</v>
      </c>
      <c r="D107" s="8">
        <v>533</v>
      </c>
      <c r="E107" s="8">
        <v>1.3</v>
      </c>
    </row>
    <row r="108" spans="1:5">
      <c r="A108" s="21">
        <v>46269</v>
      </c>
      <c r="B108" t="s">
        <v>91</v>
      </c>
      <c r="C108" s="8">
        <v>234</v>
      </c>
      <c r="D108" s="8">
        <v>561</v>
      </c>
      <c r="E108" s="8">
        <v>1.44</v>
      </c>
    </row>
    <row r="109" spans="1:5">
      <c r="A109" s="21">
        <v>46270</v>
      </c>
      <c r="B109" t="s">
        <v>91</v>
      </c>
      <c r="C109" s="22">
        <v>257</v>
      </c>
      <c r="D109" s="22">
        <v>558</v>
      </c>
      <c r="E109" s="22">
        <v>1.54</v>
      </c>
    </row>
    <row r="110" spans="1:5">
      <c r="A110" s="21">
        <v>46271</v>
      </c>
      <c r="B110" t="s">
        <v>91</v>
      </c>
      <c r="C110" s="22">
        <v>270</v>
      </c>
      <c r="D110" s="22">
        <v>573</v>
      </c>
      <c r="E110" s="22">
        <v>1.42</v>
      </c>
    </row>
    <row r="111" spans="1:5">
      <c r="A111" s="21">
        <v>46272</v>
      </c>
      <c r="B111" t="s">
        <v>91</v>
      </c>
      <c r="C111" s="22">
        <v>259</v>
      </c>
      <c r="D111" s="22">
        <v>564</v>
      </c>
      <c r="E111" s="8">
        <v>1.23</v>
      </c>
    </row>
    <row r="112" spans="1:5">
      <c r="A112" s="21">
        <v>46273</v>
      </c>
      <c r="B112" t="s">
        <v>91</v>
      </c>
      <c r="C112" s="23">
        <v>283</v>
      </c>
      <c r="D112" s="23">
        <v>615</v>
      </c>
      <c r="E112" s="23">
        <v>1.08</v>
      </c>
    </row>
    <row r="113" spans="1:5">
      <c r="A113" s="21">
        <v>46274</v>
      </c>
      <c r="B113" t="s">
        <v>91</v>
      </c>
      <c r="C113" s="23">
        <v>295</v>
      </c>
      <c r="D113" s="23">
        <v>604</v>
      </c>
      <c r="E113" s="23">
        <v>1.47</v>
      </c>
    </row>
    <row r="114" spans="1:5">
      <c r="A114" s="21">
        <v>46268</v>
      </c>
      <c r="B114" t="s">
        <v>91</v>
      </c>
      <c r="C114" s="8">
        <v>287</v>
      </c>
      <c r="D114" s="8">
        <v>634</v>
      </c>
      <c r="E114" s="8">
        <v>1.55</v>
      </c>
    </row>
    <row r="115" spans="1:5">
      <c r="A115" s="21">
        <v>46269</v>
      </c>
      <c r="B115" t="s">
        <v>91</v>
      </c>
      <c r="C115" s="8">
        <v>311</v>
      </c>
      <c r="D115" s="8">
        <v>627</v>
      </c>
      <c r="E115" s="8">
        <v>1.74</v>
      </c>
    </row>
    <row r="116" spans="1:5">
      <c r="A116" s="21">
        <v>46270</v>
      </c>
      <c r="B116" t="s">
        <v>91</v>
      </c>
      <c r="C116" s="22">
        <v>304</v>
      </c>
      <c r="D116" s="22">
        <v>671</v>
      </c>
      <c r="E116" s="22">
        <v>1.53</v>
      </c>
    </row>
    <row r="117" spans="1:5">
      <c r="A117" s="21">
        <v>46271</v>
      </c>
      <c r="B117" t="s">
        <v>91</v>
      </c>
      <c r="C117" s="22">
        <v>327</v>
      </c>
      <c r="D117" s="22">
        <v>656</v>
      </c>
      <c r="E117" s="22">
        <v>1.9</v>
      </c>
    </row>
    <row r="118" spans="1:5">
      <c r="A118" s="21">
        <v>46272</v>
      </c>
      <c r="B118" t="s">
        <v>91</v>
      </c>
      <c r="C118" s="22">
        <v>340</v>
      </c>
      <c r="D118" s="22">
        <v>672</v>
      </c>
      <c r="E118" s="8">
        <v>1.4</v>
      </c>
    </row>
    <row r="119" spans="1:5">
      <c r="A119" s="21">
        <v>46273</v>
      </c>
      <c r="B119" t="s">
        <v>91</v>
      </c>
      <c r="C119" s="23">
        <v>329</v>
      </c>
      <c r="D119" s="23">
        <v>693</v>
      </c>
      <c r="E119" s="23">
        <v>1.89</v>
      </c>
    </row>
    <row r="120" spans="1:5">
      <c r="A120" s="21">
        <v>46274</v>
      </c>
      <c r="B120" t="s">
        <v>91</v>
      </c>
      <c r="C120" s="23">
        <v>353</v>
      </c>
      <c r="D120" s="23">
        <v>703</v>
      </c>
      <c r="E120" s="23">
        <v>1.59</v>
      </c>
    </row>
    <row r="121" spans="1:5">
      <c r="A121" s="21">
        <v>46268</v>
      </c>
      <c r="B121" t="s">
        <v>91</v>
      </c>
      <c r="C121" s="8">
        <v>365</v>
      </c>
      <c r="D121" s="8">
        <v>735</v>
      </c>
      <c r="E121" s="8">
        <v>2.08</v>
      </c>
    </row>
    <row r="122" spans="1:5">
      <c r="A122" s="21">
        <v>46269</v>
      </c>
      <c r="B122" t="s">
        <v>91</v>
      </c>
      <c r="C122" s="8">
        <v>357</v>
      </c>
      <c r="D122" s="8">
        <v>734</v>
      </c>
      <c r="E122" s="8">
        <v>1.82</v>
      </c>
    </row>
    <row r="123" spans="1:5">
      <c r="A123" s="21">
        <v>46270</v>
      </c>
      <c r="B123" t="s">
        <v>91</v>
      </c>
      <c r="C123" s="22">
        <v>381</v>
      </c>
      <c r="D123" s="22">
        <v>742</v>
      </c>
      <c r="E123" s="22">
        <v>1.71</v>
      </c>
    </row>
    <row r="124" spans="1:5">
      <c r="A124" s="21">
        <v>46271</v>
      </c>
      <c r="B124" t="s">
        <v>91</v>
      </c>
      <c r="C124" s="22">
        <v>374</v>
      </c>
      <c r="D124" s="22">
        <v>766</v>
      </c>
      <c r="E124" s="22">
        <v>2.17</v>
      </c>
    </row>
    <row r="125" spans="1:5">
      <c r="A125" s="21">
        <v>46272</v>
      </c>
      <c r="B125" t="s">
        <v>91</v>
      </c>
      <c r="C125" s="22">
        <v>397</v>
      </c>
      <c r="D125" s="22">
        <v>756</v>
      </c>
      <c r="E125" s="8">
        <v>1.93</v>
      </c>
    </row>
    <row r="126" spans="1:5">
      <c r="A126" s="21">
        <v>46273</v>
      </c>
      <c r="B126" t="s">
        <v>91</v>
      </c>
      <c r="C126" s="23">
        <v>410</v>
      </c>
      <c r="D126" s="23">
        <v>778</v>
      </c>
      <c r="E126" s="23">
        <v>2.36</v>
      </c>
    </row>
    <row r="127" spans="1:5">
      <c r="A127" s="21">
        <v>46274</v>
      </c>
      <c r="B127" t="s">
        <v>91</v>
      </c>
      <c r="C127" s="23">
        <v>399</v>
      </c>
      <c r="D127" s="23">
        <v>814</v>
      </c>
      <c r="E127" s="23">
        <v>1.71</v>
      </c>
    </row>
    <row r="128" spans="1:5">
      <c r="A128" s="21">
        <v>46268</v>
      </c>
      <c r="B128" t="s">
        <v>91</v>
      </c>
      <c r="C128" s="8">
        <v>423</v>
      </c>
      <c r="D128" s="8">
        <v>802</v>
      </c>
      <c r="E128" s="8">
        <v>2.0099999999999998</v>
      </c>
    </row>
    <row r="129" spans="1:5">
      <c r="A129" s="21">
        <v>46269</v>
      </c>
      <c r="B129" t="s">
        <v>91</v>
      </c>
      <c r="C129" s="8">
        <v>435</v>
      </c>
      <c r="D129" s="8">
        <v>819</v>
      </c>
      <c r="E129" s="8">
        <v>1.92</v>
      </c>
    </row>
    <row r="130" spans="1:5">
      <c r="A130" s="21">
        <v>46270</v>
      </c>
      <c r="B130" t="s">
        <v>91</v>
      </c>
      <c r="C130" s="22">
        <v>427</v>
      </c>
      <c r="D130" s="22">
        <v>821</v>
      </c>
      <c r="E130" s="22">
        <v>2.04</v>
      </c>
    </row>
    <row r="131" spans="1:5">
      <c r="A131" s="21">
        <v>46271</v>
      </c>
      <c r="B131" t="s">
        <v>91</v>
      </c>
      <c r="C131" s="22">
        <v>451</v>
      </c>
      <c r="D131" s="22">
        <v>848</v>
      </c>
      <c r="E131" s="22">
        <v>2.5299999999999998</v>
      </c>
    </row>
    <row r="132" spans="1:5">
      <c r="A132" s="21">
        <v>46272</v>
      </c>
      <c r="B132" t="s">
        <v>91</v>
      </c>
      <c r="C132" s="22">
        <v>444</v>
      </c>
      <c r="D132" s="22">
        <v>858</v>
      </c>
      <c r="E132" s="8">
        <v>1.95</v>
      </c>
    </row>
    <row r="133" spans="1:5">
      <c r="A133" s="21">
        <v>46273</v>
      </c>
      <c r="B133" t="s">
        <v>91</v>
      </c>
      <c r="C133" s="23">
        <v>467</v>
      </c>
      <c r="D133" s="23">
        <v>891</v>
      </c>
      <c r="E133" s="23">
        <v>2.5099999999999998</v>
      </c>
    </row>
    <row r="134" spans="1:5">
      <c r="A134" s="21">
        <v>46274</v>
      </c>
      <c r="B134" t="s">
        <v>91</v>
      </c>
      <c r="C134" s="23">
        <v>480</v>
      </c>
      <c r="D134" s="23">
        <v>917</v>
      </c>
      <c r="E134" s="23">
        <v>2.2200000000000002</v>
      </c>
    </row>
    <row r="135" spans="1:5">
      <c r="A135" s="21">
        <v>46268</v>
      </c>
      <c r="B135" t="s">
        <v>91</v>
      </c>
      <c r="C135" s="8">
        <v>469</v>
      </c>
      <c r="D135" s="8">
        <v>904</v>
      </c>
      <c r="E135" s="8">
        <v>2.39</v>
      </c>
    </row>
    <row r="136" spans="1:5">
      <c r="A136" s="21">
        <v>46269</v>
      </c>
      <c r="B136" t="s">
        <v>91</v>
      </c>
      <c r="C136" s="8">
        <v>493</v>
      </c>
      <c r="D136" s="8">
        <v>906</v>
      </c>
      <c r="E136" s="8">
        <v>2.5299999999999998</v>
      </c>
    </row>
    <row r="137" spans="1:5">
      <c r="A137" s="21">
        <v>46270</v>
      </c>
      <c r="B137" t="s">
        <v>92</v>
      </c>
      <c r="C137" s="22">
        <v>498</v>
      </c>
      <c r="D137" s="22">
        <v>931</v>
      </c>
      <c r="E137" s="22">
        <v>0.63</v>
      </c>
    </row>
    <row r="138" spans="1:5">
      <c r="A138" s="21">
        <v>46271</v>
      </c>
      <c r="B138" t="s">
        <v>92</v>
      </c>
      <c r="C138" s="22">
        <v>105</v>
      </c>
      <c r="D138" s="22">
        <v>364</v>
      </c>
      <c r="E138" s="22">
        <v>0.77</v>
      </c>
    </row>
    <row r="139" spans="1:5">
      <c r="A139" s="21">
        <v>46272</v>
      </c>
      <c r="B139" t="s">
        <v>92</v>
      </c>
      <c r="C139" s="22">
        <v>121</v>
      </c>
      <c r="D139" s="22">
        <v>379</v>
      </c>
      <c r="E139" s="8">
        <v>0.95</v>
      </c>
    </row>
    <row r="140" spans="1:5">
      <c r="A140" s="21">
        <v>46273</v>
      </c>
      <c r="B140" t="s">
        <v>92</v>
      </c>
      <c r="C140" s="23">
        <v>114</v>
      </c>
      <c r="D140" s="23">
        <v>396</v>
      </c>
      <c r="E140" s="23">
        <v>0.67</v>
      </c>
    </row>
    <row r="141" spans="1:5">
      <c r="A141" s="21">
        <v>46274</v>
      </c>
      <c r="B141" t="s">
        <v>92</v>
      </c>
      <c r="C141" s="23">
        <v>137</v>
      </c>
      <c r="D141" s="23">
        <v>379</v>
      </c>
      <c r="E141" s="23">
        <v>0.64</v>
      </c>
    </row>
    <row r="142" spans="1:5">
      <c r="A142" s="21">
        <v>46268</v>
      </c>
      <c r="B142" t="s">
        <v>92</v>
      </c>
      <c r="C142" s="8">
        <v>149</v>
      </c>
      <c r="D142" s="8">
        <v>415</v>
      </c>
      <c r="E142" s="8">
        <v>1.25</v>
      </c>
    </row>
    <row r="143" spans="1:5">
      <c r="A143" s="21">
        <v>46269</v>
      </c>
      <c r="B143" t="s">
        <v>92</v>
      </c>
      <c r="C143" s="8">
        <v>141</v>
      </c>
      <c r="D143" s="8">
        <v>419</v>
      </c>
      <c r="E143" s="8">
        <v>0.59</v>
      </c>
    </row>
    <row r="144" spans="1:5">
      <c r="A144" s="21">
        <v>46270</v>
      </c>
      <c r="B144" t="s">
        <v>92</v>
      </c>
      <c r="C144" s="22">
        <v>164</v>
      </c>
      <c r="D144" s="22">
        <v>419</v>
      </c>
      <c r="E144" s="22">
        <v>0.87</v>
      </c>
    </row>
    <row r="145" spans="1:5">
      <c r="A145" s="21">
        <v>46271</v>
      </c>
      <c r="B145" t="s">
        <v>92</v>
      </c>
      <c r="C145" s="22">
        <v>156</v>
      </c>
      <c r="D145" s="22">
        <v>439</v>
      </c>
      <c r="E145" s="22">
        <v>1.08</v>
      </c>
    </row>
    <row r="146" spans="1:5">
      <c r="A146" s="21">
        <v>46272</v>
      </c>
      <c r="B146" t="s">
        <v>92</v>
      </c>
      <c r="C146" s="22">
        <v>179</v>
      </c>
      <c r="D146" s="22">
        <v>463</v>
      </c>
      <c r="E146" s="8">
        <v>1.18</v>
      </c>
    </row>
    <row r="147" spans="1:5">
      <c r="A147" s="21">
        <v>46273</v>
      </c>
      <c r="B147" t="s">
        <v>92</v>
      </c>
      <c r="C147" s="23">
        <v>192</v>
      </c>
      <c r="D147" s="23">
        <v>496</v>
      </c>
      <c r="E147" s="23">
        <v>0.99</v>
      </c>
    </row>
    <row r="148" spans="1:5">
      <c r="A148" s="21">
        <v>46274</v>
      </c>
      <c r="B148" t="s">
        <v>92</v>
      </c>
      <c r="C148" s="23">
        <v>181</v>
      </c>
      <c r="D148" s="23">
        <v>474</v>
      </c>
      <c r="E148" s="23">
        <v>1.03</v>
      </c>
    </row>
    <row r="149" spans="1:5">
      <c r="A149" s="21">
        <v>46268</v>
      </c>
      <c r="B149" t="s">
        <v>92</v>
      </c>
      <c r="C149" s="8">
        <v>205</v>
      </c>
      <c r="D149" s="8">
        <v>508</v>
      </c>
      <c r="E149" s="8">
        <v>0.98</v>
      </c>
    </row>
    <row r="150" spans="1:5">
      <c r="A150" s="21">
        <v>46269</v>
      </c>
      <c r="B150" t="s">
        <v>92</v>
      </c>
      <c r="C150" s="8">
        <v>217</v>
      </c>
      <c r="D150" s="8">
        <v>532</v>
      </c>
      <c r="E150" s="8">
        <v>1.1399999999999999</v>
      </c>
    </row>
    <row r="151" spans="1:5">
      <c r="A151" s="21">
        <v>46270</v>
      </c>
      <c r="B151" t="s">
        <v>92</v>
      </c>
      <c r="C151" s="22">
        <v>209</v>
      </c>
      <c r="D151" s="22">
        <v>520</v>
      </c>
      <c r="E151" s="22">
        <v>1.24</v>
      </c>
    </row>
    <row r="152" spans="1:5">
      <c r="A152" s="21">
        <v>46271</v>
      </c>
      <c r="B152" t="s">
        <v>92</v>
      </c>
      <c r="C152" s="22">
        <v>233</v>
      </c>
      <c r="D152" s="22">
        <v>557</v>
      </c>
      <c r="E152" s="22">
        <v>1</v>
      </c>
    </row>
    <row r="153" spans="1:5">
      <c r="A153" s="21">
        <v>46272</v>
      </c>
      <c r="B153" t="s">
        <v>92</v>
      </c>
      <c r="C153" s="22">
        <v>226</v>
      </c>
      <c r="D153" s="22">
        <v>567</v>
      </c>
      <c r="E153" s="8">
        <v>1.26</v>
      </c>
    </row>
    <row r="154" spans="1:5">
      <c r="A154" s="21">
        <v>46273</v>
      </c>
      <c r="B154" t="s">
        <v>92</v>
      </c>
      <c r="C154" s="23">
        <v>249</v>
      </c>
      <c r="D154" s="23">
        <v>574</v>
      </c>
      <c r="E154" s="23">
        <v>1.38</v>
      </c>
    </row>
    <row r="155" spans="1:5">
      <c r="A155" s="21">
        <v>46274</v>
      </c>
      <c r="B155" t="s">
        <v>92</v>
      </c>
      <c r="C155" s="23">
        <v>262</v>
      </c>
      <c r="D155" s="23">
        <v>585</v>
      </c>
      <c r="E155" s="23">
        <v>1.03</v>
      </c>
    </row>
    <row r="156" spans="1:5">
      <c r="A156" s="21">
        <v>46268</v>
      </c>
      <c r="B156" t="s">
        <v>92</v>
      </c>
      <c r="C156" s="8">
        <v>251</v>
      </c>
      <c r="D156" s="8">
        <v>594</v>
      </c>
      <c r="E156" s="8">
        <v>0.86</v>
      </c>
    </row>
    <row r="157" spans="1:5">
      <c r="A157" s="21">
        <v>46269</v>
      </c>
      <c r="B157" t="s">
        <v>92</v>
      </c>
      <c r="C157" s="8">
        <v>275</v>
      </c>
      <c r="D157" s="8">
        <v>613</v>
      </c>
      <c r="E157" s="8">
        <v>1.27</v>
      </c>
    </row>
    <row r="158" spans="1:5">
      <c r="A158" s="21">
        <v>46270</v>
      </c>
      <c r="B158" t="s">
        <v>92</v>
      </c>
      <c r="C158" s="8">
        <v>287</v>
      </c>
      <c r="D158" s="8">
        <v>605</v>
      </c>
      <c r="E158" s="8">
        <v>1.71</v>
      </c>
    </row>
    <row r="159" spans="1:5">
      <c r="A159" s="21">
        <v>46271</v>
      </c>
      <c r="B159" t="s">
        <v>92</v>
      </c>
      <c r="C159" s="8">
        <v>279</v>
      </c>
      <c r="D159" s="8">
        <v>629</v>
      </c>
      <c r="E159" s="8">
        <v>1.32</v>
      </c>
    </row>
    <row r="160" spans="1:5">
      <c r="A160" s="21">
        <v>46272</v>
      </c>
      <c r="B160" t="s">
        <v>92</v>
      </c>
      <c r="C160" s="8">
        <v>303</v>
      </c>
      <c r="D160" s="8">
        <v>669</v>
      </c>
      <c r="E160" s="8">
        <v>1.42</v>
      </c>
    </row>
    <row r="161" spans="1:5">
      <c r="A161" s="21">
        <v>46273</v>
      </c>
      <c r="B161" t="s">
        <v>92</v>
      </c>
      <c r="C161" s="8">
        <v>296</v>
      </c>
      <c r="D161" s="8">
        <v>655</v>
      </c>
      <c r="E161" s="8">
        <v>1.54</v>
      </c>
    </row>
    <row r="162" spans="1:5">
      <c r="A162" s="21">
        <v>46274</v>
      </c>
      <c r="B162" t="s">
        <v>92</v>
      </c>
      <c r="C162" s="8">
        <v>319</v>
      </c>
      <c r="D162" s="8">
        <v>700</v>
      </c>
      <c r="E162" s="8">
        <v>1.52</v>
      </c>
    </row>
    <row r="163" spans="1:5">
      <c r="A163" s="21">
        <v>46268</v>
      </c>
      <c r="B163" t="s">
        <v>92</v>
      </c>
      <c r="C163" s="8">
        <v>332</v>
      </c>
      <c r="D163" s="8">
        <v>682</v>
      </c>
      <c r="E163" s="8">
        <v>1.49</v>
      </c>
    </row>
    <row r="164" spans="1:5">
      <c r="A164" s="21">
        <v>46269</v>
      </c>
      <c r="B164" t="s">
        <v>92</v>
      </c>
      <c r="C164" s="8">
        <v>321</v>
      </c>
      <c r="D164" s="8">
        <v>719</v>
      </c>
      <c r="E164" s="8">
        <v>1.52</v>
      </c>
    </row>
    <row r="165" spans="1:5">
      <c r="A165" s="21">
        <v>46270</v>
      </c>
      <c r="B165" t="s">
        <v>92</v>
      </c>
      <c r="C165" s="8">
        <v>345</v>
      </c>
      <c r="D165" s="8">
        <v>734</v>
      </c>
      <c r="E165" s="8">
        <v>1.46</v>
      </c>
    </row>
    <row r="166" spans="1:5">
      <c r="A166" s="21">
        <v>46271</v>
      </c>
      <c r="B166" t="s">
        <v>92</v>
      </c>
      <c r="C166" s="8">
        <v>357</v>
      </c>
      <c r="D166" s="8">
        <v>756</v>
      </c>
      <c r="E166" s="8">
        <v>1.53</v>
      </c>
    </row>
    <row r="167" spans="1:5">
      <c r="A167" s="21">
        <v>46272</v>
      </c>
      <c r="B167" t="s">
        <v>92</v>
      </c>
      <c r="C167" s="8">
        <v>349</v>
      </c>
      <c r="D167" s="8">
        <v>739</v>
      </c>
      <c r="E167" s="8">
        <v>1.55</v>
      </c>
    </row>
    <row r="168" spans="1:5">
      <c r="A168" s="21">
        <v>46273</v>
      </c>
      <c r="B168" t="s">
        <v>92</v>
      </c>
      <c r="C168" s="8">
        <v>373</v>
      </c>
      <c r="D168" s="8">
        <v>768</v>
      </c>
      <c r="E168" s="8">
        <v>1.63</v>
      </c>
    </row>
    <row r="169" spans="1:5">
      <c r="A169" s="21">
        <v>46274</v>
      </c>
      <c r="B169" t="s">
        <v>92</v>
      </c>
      <c r="C169" s="8">
        <v>366</v>
      </c>
      <c r="D169" s="8">
        <v>760</v>
      </c>
      <c r="E169" s="8">
        <v>1.58</v>
      </c>
    </row>
    <row r="170" spans="1:5">
      <c r="A170" s="21">
        <v>46268</v>
      </c>
      <c r="B170" t="s">
        <v>92</v>
      </c>
      <c r="C170" s="8">
        <v>389</v>
      </c>
      <c r="D170" s="8">
        <v>772</v>
      </c>
      <c r="E170" s="8">
        <v>1.45</v>
      </c>
    </row>
    <row r="171" spans="1:5">
      <c r="A171" s="21">
        <v>46269</v>
      </c>
      <c r="B171" t="s">
        <v>92</v>
      </c>
      <c r="C171" s="8">
        <v>402</v>
      </c>
      <c r="D171" s="8">
        <v>816</v>
      </c>
      <c r="E171" s="8">
        <v>1.44</v>
      </c>
    </row>
    <row r="172" spans="1:5">
      <c r="A172" s="21">
        <v>46270</v>
      </c>
      <c r="B172" t="s">
        <v>92</v>
      </c>
      <c r="C172" s="22">
        <v>391</v>
      </c>
      <c r="D172" s="22">
        <v>839</v>
      </c>
      <c r="E172" s="22">
        <v>1.58</v>
      </c>
    </row>
    <row r="173" spans="1:5">
      <c r="A173" s="21">
        <v>46271</v>
      </c>
      <c r="B173" t="s">
        <v>92</v>
      </c>
      <c r="C173" s="22">
        <v>415</v>
      </c>
      <c r="D173" s="22">
        <v>849</v>
      </c>
      <c r="E173" s="22">
        <v>1.86</v>
      </c>
    </row>
    <row r="174" spans="1:5">
      <c r="A174" s="21">
        <v>46272</v>
      </c>
      <c r="B174" t="s">
        <v>92</v>
      </c>
      <c r="C174" s="22">
        <v>427</v>
      </c>
      <c r="D174" s="22">
        <v>869</v>
      </c>
      <c r="E174" s="8">
        <v>2.06</v>
      </c>
    </row>
    <row r="175" spans="1:5">
      <c r="A175" s="21">
        <v>46273</v>
      </c>
      <c r="B175" t="s">
        <v>92</v>
      </c>
      <c r="C175" s="23">
        <v>419</v>
      </c>
      <c r="D175" s="23">
        <v>861</v>
      </c>
      <c r="E175" s="23">
        <v>1.65</v>
      </c>
    </row>
    <row r="176" spans="1:5">
      <c r="A176" s="21">
        <v>46274</v>
      </c>
      <c r="B176" t="s">
        <v>92</v>
      </c>
      <c r="C176" s="23">
        <v>443</v>
      </c>
      <c r="D176" s="23">
        <v>865</v>
      </c>
      <c r="E176" s="23">
        <v>1.99</v>
      </c>
    </row>
    <row r="177" spans="1:5">
      <c r="A177" s="21">
        <v>46268</v>
      </c>
      <c r="B177" t="s">
        <v>92</v>
      </c>
      <c r="C177" s="8">
        <v>436</v>
      </c>
      <c r="D177" s="8">
        <v>909</v>
      </c>
      <c r="E177" s="8">
        <v>1.72</v>
      </c>
    </row>
    <row r="178" spans="1:5">
      <c r="A178" s="21">
        <v>46269</v>
      </c>
      <c r="B178" t="s">
        <v>92</v>
      </c>
      <c r="C178" s="8">
        <v>459</v>
      </c>
      <c r="D178" s="8">
        <v>905</v>
      </c>
      <c r="E178" s="8">
        <v>2.0499999999999998</v>
      </c>
    </row>
    <row r="179" spans="1:5">
      <c r="A179" s="21">
        <v>46270</v>
      </c>
      <c r="B179" t="s">
        <v>92</v>
      </c>
      <c r="C179" s="22">
        <v>472</v>
      </c>
      <c r="D179" s="22">
        <v>913</v>
      </c>
      <c r="E179" s="22">
        <v>1.62</v>
      </c>
    </row>
    <row r="180" spans="1:5">
      <c r="A180" s="21">
        <v>46271</v>
      </c>
      <c r="B180" t="s">
        <v>92</v>
      </c>
      <c r="C180" s="22">
        <v>461</v>
      </c>
      <c r="D180" s="22">
        <v>925</v>
      </c>
      <c r="E180" s="22">
        <v>1.7</v>
      </c>
    </row>
    <row r="181" spans="1:5">
      <c r="A181" s="21">
        <v>46272</v>
      </c>
      <c r="B181" t="s">
        <v>92</v>
      </c>
      <c r="C181" s="22">
        <v>485</v>
      </c>
      <c r="D181" s="22">
        <v>930</v>
      </c>
      <c r="E181" s="8">
        <v>1.92</v>
      </c>
    </row>
    <row r="182" spans="1:5">
      <c r="A182" s="21">
        <v>46273</v>
      </c>
      <c r="B182" t="s">
        <v>93</v>
      </c>
      <c r="C182" s="23">
        <v>499</v>
      </c>
      <c r="D182" s="23">
        <v>951</v>
      </c>
      <c r="E182" s="23">
        <v>0.96</v>
      </c>
    </row>
    <row r="183" spans="1:5">
      <c r="A183" s="21">
        <v>46274</v>
      </c>
      <c r="B183" t="s">
        <v>93</v>
      </c>
      <c r="C183" s="23">
        <v>111</v>
      </c>
      <c r="D183" s="23">
        <v>309</v>
      </c>
      <c r="E183" s="23">
        <v>0.84</v>
      </c>
    </row>
    <row r="184" spans="1:5">
      <c r="A184" s="21">
        <v>46275</v>
      </c>
      <c r="B184" t="s">
        <v>93</v>
      </c>
      <c r="C184" s="24">
        <v>127</v>
      </c>
      <c r="D184" s="24">
        <v>339</v>
      </c>
      <c r="E184" s="24">
        <v>1.05</v>
      </c>
    </row>
    <row r="185" spans="1:5">
      <c r="A185" s="21">
        <v>46275</v>
      </c>
      <c r="B185" t="s">
        <v>93</v>
      </c>
      <c r="C185" s="24">
        <v>120</v>
      </c>
      <c r="D185" s="24">
        <v>329</v>
      </c>
      <c r="E185" s="24">
        <v>0.84</v>
      </c>
    </row>
    <row r="186" spans="1:5">
      <c r="A186" s="21">
        <v>46275</v>
      </c>
      <c r="B186" t="s">
        <v>93</v>
      </c>
      <c r="C186" s="24">
        <v>143</v>
      </c>
      <c r="D186" s="24">
        <v>338</v>
      </c>
      <c r="E186" s="24">
        <v>1.1399999999999999</v>
      </c>
    </row>
    <row r="187" spans="1:5">
      <c r="A187" s="21">
        <v>46275</v>
      </c>
      <c r="B187" t="s">
        <v>93</v>
      </c>
      <c r="C187" s="24">
        <v>155</v>
      </c>
      <c r="D187" s="24">
        <v>363</v>
      </c>
      <c r="E187" s="24">
        <v>0.92</v>
      </c>
    </row>
    <row r="188" spans="1:5">
      <c r="A188" s="21">
        <v>46275</v>
      </c>
      <c r="B188" t="s">
        <v>93</v>
      </c>
      <c r="C188" s="24">
        <v>147</v>
      </c>
      <c r="D188" s="24">
        <v>400</v>
      </c>
      <c r="E188" s="24">
        <v>1.1000000000000001</v>
      </c>
    </row>
    <row r="189" spans="1:5">
      <c r="A189" s="21">
        <v>46275</v>
      </c>
      <c r="B189" t="s">
        <v>93</v>
      </c>
      <c r="C189" s="24">
        <v>170</v>
      </c>
      <c r="D189" s="24">
        <v>413</v>
      </c>
      <c r="E189" s="24">
        <v>0.97</v>
      </c>
    </row>
    <row r="190" spans="1:5">
      <c r="A190" s="21">
        <v>46275</v>
      </c>
      <c r="B190" t="s">
        <v>93</v>
      </c>
      <c r="C190" s="24">
        <v>162</v>
      </c>
      <c r="D190" s="24">
        <v>417</v>
      </c>
      <c r="E190" s="24">
        <v>1.02</v>
      </c>
    </row>
    <row r="191" spans="1:5">
      <c r="A191" s="21">
        <v>46275</v>
      </c>
      <c r="B191" t="s">
        <v>93</v>
      </c>
      <c r="C191" s="24">
        <v>185</v>
      </c>
      <c r="D191" s="24">
        <v>426</v>
      </c>
      <c r="E191" s="24">
        <v>0.99</v>
      </c>
    </row>
    <row r="192" spans="1:5">
      <c r="A192" s="21">
        <v>46275</v>
      </c>
      <c r="B192" t="s">
        <v>93</v>
      </c>
      <c r="C192" s="41">
        <v>198</v>
      </c>
      <c r="D192" s="41">
        <v>447</v>
      </c>
      <c r="E192" s="8">
        <v>1.18</v>
      </c>
    </row>
    <row r="193" spans="1:5">
      <c r="A193" s="21">
        <v>46275</v>
      </c>
      <c r="B193" t="s">
        <v>93</v>
      </c>
      <c r="C193" s="24">
        <v>187</v>
      </c>
      <c r="D193" s="24">
        <v>468</v>
      </c>
      <c r="E193" s="24">
        <v>1.1599999999999999</v>
      </c>
    </row>
    <row r="194" spans="1:5">
      <c r="A194" s="21">
        <v>46275</v>
      </c>
      <c r="B194" t="s">
        <v>93</v>
      </c>
      <c r="C194" s="24">
        <v>211</v>
      </c>
      <c r="D194" s="24">
        <v>496</v>
      </c>
      <c r="E194" s="24">
        <v>1.1000000000000001</v>
      </c>
    </row>
    <row r="195" spans="1:5">
      <c r="A195" s="21">
        <v>46275</v>
      </c>
      <c r="B195" t="s">
        <v>93</v>
      </c>
      <c r="C195" s="24">
        <v>223</v>
      </c>
      <c r="D195" s="24">
        <v>482</v>
      </c>
      <c r="E195" s="24">
        <v>1.07</v>
      </c>
    </row>
    <row r="196" spans="1:5">
      <c r="A196" s="21">
        <v>46275</v>
      </c>
      <c r="B196" t="s">
        <v>93</v>
      </c>
      <c r="C196" s="24">
        <v>215</v>
      </c>
      <c r="D196" s="24">
        <v>489</v>
      </c>
      <c r="E196" s="24">
        <v>1.1299999999999999</v>
      </c>
    </row>
    <row r="197" spans="1:5">
      <c r="A197" s="21">
        <v>46275</v>
      </c>
      <c r="B197" t="s">
        <v>93</v>
      </c>
      <c r="C197" s="24">
        <v>239</v>
      </c>
      <c r="D197" s="24">
        <v>530</v>
      </c>
      <c r="E197" s="24">
        <v>1.41</v>
      </c>
    </row>
    <row r="198" spans="1:5">
      <c r="A198" s="21">
        <v>46275</v>
      </c>
      <c r="B198" t="s">
        <v>93</v>
      </c>
      <c r="C198" s="24">
        <v>232</v>
      </c>
      <c r="D198" s="24">
        <v>543</v>
      </c>
      <c r="E198" s="24">
        <v>1.22</v>
      </c>
    </row>
    <row r="199" spans="1:5">
      <c r="A199" s="21">
        <v>46275</v>
      </c>
      <c r="B199" t="s">
        <v>93</v>
      </c>
      <c r="C199" s="24">
        <v>255</v>
      </c>
      <c r="D199" s="24">
        <v>566</v>
      </c>
      <c r="E199" s="24">
        <v>1.21</v>
      </c>
    </row>
    <row r="200" spans="1:5">
      <c r="A200" s="21">
        <v>46275</v>
      </c>
      <c r="B200" t="s">
        <v>93</v>
      </c>
      <c r="C200" s="24">
        <v>268</v>
      </c>
      <c r="D200" s="24">
        <v>571</v>
      </c>
      <c r="E200" s="24">
        <v>1.04</v>
      </c>
    </row>
    <row r="201" spans="1:5">
      <c r="A201" s="21">
        <v>46275</v>
      </c>
      <c r="B201" t="s">
        <v>93</v>
      </c>
      <c r="C201" s="24">
        <v>257</v>
      </c>
      <c r="D201" s="24">
        <v>573</v>
      </c>
      <c r="E201" s="24">
        <v>1.44</v>
      </c>
    </row>
    <row r="202" spans="1:5">
      <c r="A202" s="21">
        <v>46275</v>
      </c>
      <c r="B202" t="s">
        <v>93</v>
      </c>
      <c r="C202" s="24">
        <v>281</v>
      </c>
      <c r="D202" s="24">
        <v>604</v>
      </c>
      <c r="E202" s="24">
        <v>1.29</v>
      </c>
    </row>
    <row r="203" spans="1:5">
      <c r="A203" s="21">
        <v>46275</v>
      </c>
      <c r="B203" t="s">
        <v>93</v>
      </c>
      <c r="C203" s="24">
        <v>293</v>
      </c>
      <c r="D203" s="24">
        <v>600</v>
      </c>
      <c r="E203" s="24">
        <v>1.36</v>
      </c>
    </row>
    <row r="204" spans="1:5">
      <c r="A204" s="21">
        <v>46275</v>
      </c>
      <c r="B204" t="s">
        <v>93</v>
      </c>
      <c r="C204" s="24">
        <v>285</v>
      </c>
      <c r="D204" s="24">
        <v>634</v>
      </c>
      <c r="E204" s="24">
        <v>1.46</v>
      </c>
    </row>
    <row r="205" spans="1:5">
      <c r="A205" s="21">
        <v>46275</v>
      </c>
      <c r="B205" t="s">
        <v>93</v>
      </c>
      <c r="C205" s="24">
        <v>309</v>
      </c>
      <c r="D205" s="24">
        <v>638</v>
      </c>
      <c r="E205" s="24">
        <v>1.25</v>
      </c>
    </row>
    <row r="206" spans="1:5">
      <c r="A206" s="21">
        <v>46275</v>
      </c>
      <c r="B206" t="s">
        <v>93</v>
      </c>
      <c r="C206" s="41">
        <v>302</v>
      </c>
      <c r="D206" s="41">
        <v>639</v>
      </c>
      <c r="E206" s="8">
        <v>1.36</v>
      </c>
    </row>
    <row r="207" spans="1:5">
      <c r="A207" s="21">
        <v>46275</v>
      </c>
      <c r="B207" t="s">
        <v>93</v>
      </c>
      <c r="C207" s="40">
        <v>325</v>
      </c>
      <c r="D207" s="40">
        <v>665</v>
      </c>
      <c r="E207" s="8">
        <v>1.31</v>
      </c>
    </row>
    <row r="208" spans="1:5">
      <c r="A208" s="21">
        <v>46275</v>
      </c>
      <c r="B208" t="s">
        <v>93</v>
      </c>
      <c r="C208" s="24">
        <v>338</v>
      </c>
      <c r="D208" s="24">
        <v>696</v>
      </c>
      <c r="E208" s="24">
        <v>1.1299999999999999</v>
      </c>
    </row>
    <row r="209" spans="1:5">
      <c r="A209" s="21">
        <v>46275</v>
      </c>
      <c r="B209" t="s">
        <v>93</v>
      </c>
      <c r="C209" s="24">
        <v>327</v>
      </c>
      <c r="D209" s="24">
        <v>710</v>
      </c>
      <c r="E209" s="24">
        <v>1.37</v>
      </c>
    </row>
    <row r="210" spans="1:5">
      <c r="A210" s="21">
        <v>46276</v>
      </c>
      <c r="B210" t="s">
        <v>93</v>
      </c>
      <c r="C210" s="24">
        <v>351</v>
      </c>
      <c r="D210" s="24">
        <v>732</v>
      </c>
      <c r="E210" s="24">
        <v>1.61</v>
      </c>
    </row>
    <row r="211" spans="1:5">
      <c r="A211" s="21">
        <v>46276</v>
      </c>
      <c r="B211" t="s">
        <v>93</v>
      </c>
      <c r="C211" s="24">
        <v>363</v>
      </c>
      <c r="D211" s="24">
        <v>735</v>
      </c>
      <c r="E211" s="24">
        <v>1.57</v>
      </c>
    </row>
    <row r="212" spans="1:5">
      <c r="A212" s="21">
        <v>46276</v>
      </c>
      <c r="B212" t="s">
        <v>93</v>
      </c>
      <c r="C212" s="24">
        <v>355</v>
      </c>
      <c r="D212" s="24">
        <v>729</v>
      </c>
      <c r="E212" s="24">
        <v>1.1299999999999999</v>
      </c>
    </row>
    <row r="213" spans="1:5">
      <c r="A213" s="21">
        <v>46276</v>
      </c>
      <c r="B213" t="s">
        <v>93</v>
      </c>
      <c r="C213" s="24">
        <v>379</v>
      </c>
      <c r="D213" s="24">
        <v>780</v>
      </c>
      <c r="E213" s="24">
        <v>1.4</v>
      </c>
    </row>
    <row r="214" spans="1:5">
      <c r="A214" s="21">
        <v>46276</v>
      </c>
      <c r="B214" t="s">
        <v>93</v>
      </c>
      <c r="C214" s="24">
        <v>372</v>
      </c>
      <c r="D214" s="24">
        <v>790</v>
      </c>
      <c r="E214" s="24">
        <v>1.31</v>
      </c>
    </row>
    <row r="215" spans="1:5">
      <c r="A215" s="21">
        <v>46276</v>
      </c>
      <c r="B215" t="s">
        <v>93</v>
      </c>
      <c r="C215" s="24">
        <v>395</v>
      </c>
      <c r="D215" s="24">
        <v>773</v>
      </c>
      <c r="E215" s="24">
        <v>1.24</v>
      </c>
    </row>
    <row r="216" spans="1:5">
      <c r="A216" s="21">
        <v>46276</v>
      </c>
      <c r="B216" t="s">
        <v>93</v>
      </c>
      <c r="C216" s="24">
        <v>408</v>
      </c>
      <c r="D216" s="24">
        <v>827</v>
      </c>
      <c r="E216" s="24">
        <v>1.77</v>
      </c>
    </row>
    <row r="217" spans="1:5">
      <c r="A217" s="21">
        <v>46276</v>
      </c>
      <c r="B217" t="s">
        <v>93</v>
      </c>
      <c r="C217" s="24">
        <v>397</v>
      </c>
      <c r="D217" s="24">
        <v>814</v>
      </c>
      <c r="E217" s="24">
        <v>1.38</v>
      </c>
    </row>
    <row r="218" spans="1:5">
      <c r="A218" s="21">
        <v>46276</v>
      </c>
      <c r="B218" t="s">
        <v>93</v>
      </c>
      <c r="C218" s="41">
        <v>421</v>
      </c>
      <c r="D218" s="41">
        <v>843</v>
      </c>
      <c r="E218" s="8">
        <v>1.58</v>
      </c>
    </row>
    <row r="219" spans="1:5">
      <c r="A219" s="21">
        <v>46276</v>
      </c>
      <c r="B219" t="s">
        <v>93</v>
      </c>
      <c r="C219" s="24">
        <v>433</v>
      </c>
      <c r="D219" s="24">
        <v>863</v>
      </c>
      <c r="E219" s="24">
        <v>1.51</v>
      </c>
    </row>
    <row r="220" spans="1:5">
      <c r="A220" s="21">
        <v>46276</v>
      </c>
      <c r="B220" t="s">
        <v>93</v>
      </c>
      <c r="C220" s="24">
        <v>425</v>
      </c>
      <c r="D220" s="24">
        <v>868</v>
      </c>
      <c r="E220" s="24">
        <v>1.71</v>
      </c>
    </row>
    <row r="221" spans="1:5">
      <c r="A221" s="21">
        <v>46276</v>
      </c>
      <c r="B221" t="s">
        <v>93</v>
      </c>
      <c r="C221" s="24">
        <v>449</v>
      </c>
      <c r="D221" s="24">
        <v>886</v>
      </c>
      <c r="E221" s="24">
        <v>1.67</v>
      </c>
    </row>
    <row r="222" spans="1:5">
      <c r="A222" s="21">
        <v>46276</v>
      </c>
      <c r="B222" t="s">
        <v>93</v>
      </c>
      <c r="C222" s="24">
        <v>442</v>
      </c>
      <c r="D222" s="24">
        <v>915</v>
      </c>
      <c r="E222" s="24">
        <v>1.61</v>
      </c>
    </row>
    <row r="223" spans="1:5">
      <c r="A223" s="21">
        <v>46276</v>
      </c>
      <c r="B223" t="s">
        <v>93</v>
      </c>
      <c r="C223" s="24">
        <v>465</v>
      </c>
      <c r="D223" s="24">
        <v>904</v>
      </c>
      <c r="E223" s="24">
        <v>1.7</v>
      </c>
    </row>
    <row r="224" spans="1:5">
      <c r="A224" s="21">
        <v>46276</v>
      </c>
      <c r="B224" t="s">
        <v>93</v>
      </c>
      <c r="C224" s="24">
        <v>478</v>
      </c>
      <c r="D224" s="24">
        <v>935</v>
      </c>
      <c r="E224" s="24">
        <v>1.28</v>
      </c>
    </row>
    <row r="225" spans="1:5">
      <c r="A225" s="21">
        <v>46276</v>
      </c>
      <c r="B225" t="s">
        <v>93</v>
      </c>
      <c r="C225" s="24">
        <v>467</v>
      </c>
      <c r="D225" s="24">
        <v>925</v>
      </c>
      <c r="E225" s="24">
        <v>1.63</v>
      </c>
    </row>
    <row r="226" spans="1:5">
      <c r="A226" s="21">
        <v>46276</v>
      </c>
      <c r="B226" t="s">
        <v>93</v>
      </c>
      <c r="C226" s="24">
        <v>491</v>
      </c>
      <c r="D226" s="24">
        <v>953</v>
      </c>
      <c r="E226" s="24">
        <v>1.94</v>
      </c>
    </row>
    <row r="227" spans="1:5">
      <c r="A227" s="21">
        <v>46276</v>
      </c>
      <c r="B227" t="s">
        <v>94</v>
      </c>
      <c r="C227" s="24">
        <v>497</v>
      </c>
      <c r="D227" s="24">
        <v>964</v>
      </c>
      <c r="E227" s="24">
        <v>0.99</v>
      </c>
    </row>
    <row r="228" spans="1:5">
      <c r="A228" s="21">
        <v>46276</v>
      </c>
      <c r="B228" t="s">
        <v>94</v>
      </c>
      <c r="C228" s="24">
        <v>99</v>
      </c>
      <c r="D228" s="24">
        <v>341</v>
      </c>
      <c r="E228" s="24">
        <v>0.66</v>
      </c>
    </row>
    <row r="229" spans="1:5">
      <c r="A229" s="21">
        <v>46276</v>
      </c>
      <c r="B229" t="s">
        <v>94</v>
      </c>
      <c r="C229" s="24">
        <v>116</v>
      </c>
      <c r="D229" s="24">
        <v>349</v>
      </c>
      <c r="E229" s="24">
        <v>0.97</v>
      </c>
    </row>
    <row r="230" spans="1:5">
      <c r="A230" s="21">
        <v>46276</v>
      </c>
      <c r="B230" t="s">
        <v>94</v>
      </c>
      <c r="C230" s="24">
        <v>109</v>
      </c>
      <c r="D230" s="24">
        <v>358</v>
      </c>
      <c r="E230" s="24">
        <v>0.91</v>
      </c>
    </row>
    <row r="231" spans="1:5">
      <c r="A231" s="21">
        <v>46276</v>
      </c>
      <c r="B231" t="s">
        <v>94</v>
      </c>
      <c r="C231" s="24">
        <v>132</v>
      </c>
      <c r="D231" s="24">
        <v>357</v>
      </c>
      <c r="E231" s="24">
        <v>1.2</v>
      </c>
    </row>
    <row r="232" spans="1:5">
      <c r="A232" s="21">
        <v>46276</v>
      </c>
      <c r="B232" t="s">
        <v>94</v>
      </c>
      <c r="C232" s="41">
        <v>144</v>
      </c>
      <c r="D232" s="41">
        <v>364</v>
      </c>
      <c r="E232" s="8">
        <v>0.83</v>
      </c>
    </row>
    <row r="233" spans="1:5">
      <c r="A233" s="21">
        <v>46276</v>
      </c>
      <c r="B233" t="s">
        <v>94</v>
      </c>
      <c r="C233" s="40">
        <v>136</v>
      </c>
      <c r="D233" s="40">
        <v>419</v>
      </c>
      <c r="E233" s="8">
        <v>1.19</v>
      </c>
    </row>
    <row r="234" spans="1:5">
      <c r="A234" s="21">
        <v>46276</v>
      </c>
      <c r="B234" t="s">
        <v>94</v>
      </c>
      <c r="C234" s="24">
        <v>159</v>
      </c>
      <c r="D234" s="24">
        <v>430</v>
      </c>
      <c r="E234" s="24">
        <v>1.33</v>
      </c>
    </row>
    <row r="235" spans="1:5">
      <c r="A235" s="21">
        <v>46276</v>
      </c>
      <c r="B235" t="s">
        <v>94</v>
      </c>
      <c r="C235" s="24">
        <v>151</v>
      </c>
      <c r="D235" s="24">
        <v>442</v>
      </c>
      <c r="E235" s="24">
        <v>1.19</v>
      </c>
    </row>
    <row r="236" spans="1:5">
      <c r="A236" s="21">
        <v>46277</v>
      </c>
      <c r="B236" t="s">
        <v>94</v>
      </c>
      <c r="C236" s="24">
        <v>174</v>
      </c>
      <c r="D236" s="24">
        <v>448</v>
      </c>
      <c r="E236" s="8">
        <v>1.33</v>
      </c>
    </row>
    <row r="237" spans="1:5">
      <c r="A237" s="21">
        <v>46277</v>
      </c>
      <c r="B237" t="s">
        <v>94</v>
      </c>
      <c r="C237" s="24">
        <v>187</v>
      </c>
      <c r="D237" s="24">
        <v>440</v>
      </c>
      <c r="E237" s="8">
        <v>1.08</v>
      </c>
    </row>
    <row r="238" spans="1:5">
      <c r="A238" s="21">
        <v>46277</v>
      </c>
      <c r="B238" t="s">
        <v>94</v>
      </c>
      <c r="C238" s="24">
        <v>176</v>
      </c>
      <c r="D238" s="24">
        <v>468</v>
      </c>
      <c r="E238" s="8">
        <v>1.21</v>
      </c>
    </row>
    <row r="239" spans="1:5">
      <c r="A239" s="21">
        <v>46277</v>
      </c>
      <c r="B239" t="s">
        <v>94</v>
      </c>
      <c r="C239" s="24">
        <v>200</v>
      </c>
      <c r="D239" s="24">
        <v>487</v>
      </c>
      <c r="E239" s="8">
        <v>1.17</v>
      </c>
    </row>
    <row r="240" spans="1:5">
      <c r="A240" s="21">
        <v>46277</v>
      </c>
      <c r="B240" t="s">
        <v>94</v>
      </c>
      <c r="C240" s="24">
        <v>212</v>
      </c>
      <c r="D240" s="24">
        <v>524</v>
      </c>
      <c r="E240" s="8">
        <v>1.49</v>
      </c>
    </row>
    <row r="241" spans="1:5">
      <c r="A241" s="21">
        <v>46277</v>
      </c>
      <c r="B241" t="s">
        <v>94</v>
      </c>
      <c r="C241" s="24">
        <v>204</v>
      </c>
      <c r="D241" s="24">
        <v>501</v>
      </c>
      <c r="E241" s="8">
        <v>1.62</v>
      </c>
    </row>
    <row r="242" spans="1:5">
      <c r="A242" s="21">
        <v>46277</v>
      </c>
      <c r="B242" t="s">
        <v>94</v>
      </c>
      <c r="C242" s="24">
        <v>228</v>
      </c>
      <c r="D242" s="24">
        <v>550</v>
      </c>
      <c r="E242" s="8">
        <v>1.56</v>
      </c>
    </row>
    <row r="243" spans="1:5">
      <c r="A243" s="21">
        <v>46277</v>
      </c>
      <c r="B243" t="s">
        <v>94</v>
      </c>
      <c r="C243" s="24">
        <v>221</v>
      </c>
      <c r="D243" s="24">
        <v>564</v>
      </c>
      <c r="E243" s="8">
        <v>1.56</v>
      </c>
    </row>
    <row r="244" spans="1:5">
      <c r="A244" s="21">
        <v>46277</v>
      </c>
      <c r="B244" t="s">
        <v>94</v>
      </c>
      <c r="C244" s="41">
        <v>244</v>
      </c>
      <c r="D244" s="41">
        <v>561</v>
      </c>
      <c r="E244" s="8">
        <v>1.54</v>
      </c>
    </row>
    <row r="245" spans="1:5">
      <c r="A245" s="21">
        <v>46277</v>
      </c>
      <c r="B245" t="s">
        <v>94</v>
      </c>
      <c r="C245" s="24">
        <v>257</v>
      </c>
      <c r="D245" s="24">
        <v>585</v>
      </c>
      <c r="E245" s="8">
        <v>1.41</v>
      </c>
    </row>
    <row r="246" spans="1:5">
      <c r="A246" s="21">
        <v>46277</v>
      </c>
      <c r="B246" t="s">
        <v>94</v>
      </c>
      <c r="C246" s="24">
        <v>246</v>
      </c>
      <c r="D246" s="24">
        <v>588</v>
      </c>
      <c r="E246" s="8">
        <v>1.39</v>
      </c>
    </row>
    <row r="247" spans="1:5">
      <c r="A247" s="21">
        <v>46277</v>
      </c>
      <c r="B247" t="s">
        <v>94</v>
      </c>
      <c r="C247" s="24">
        <v>270</v>
      </c>
      <c r="D247" s="24">
        <v>594</v>
      </c>
      <c r="E247" s="8">
        <v>1.66</v>
      </c>
    </row>
    <row r="248" spans="1:5">
      <c r="A248" s="21">
        <v>46277</v>
      </c>
      <c r="B248" t="s">
        <v>94</v>
      </c>
      <c r="C248" s="24">
        <v>282</v>
      </c>
      <c r="D248" s="24">
        <v>640</v>
      </c>
      <c r="E248" s="8">
        <v>1.64</v>
      </c>
    </row>
    <row r="249" spans="1:5">
      <c r="A249" s="21">
        <v>46277</v>
      </c>
      <c r="B249" t="s">
        <v>94</v>
      </c>
      <c r="C249" s="24">
        <v>274</v>
      </c>
      <c r="D249" s="24">
        <v>642</v>
      </c>
      <c r="E249" s="8">
        <v>1.61</v>
      </c>
    </row>
    <row r="250" spans="1:5">
      <c r="A250" s="21">
        <v>46277</v>
      </c>
      <c r="B250" t="s">
        <v>94</v>
      </c>
      <c r="C250" s="24">
        <v>298</v>
      </c>
      <c r="D250" s="24">
        <v>674</v>
      </c>
      <c r="E250" s="8">
        <v>1.78</v>
      </c>
    </row>
    <row r="251" spans="1:5">
      <c r="A251" s="21">
        <v>46277</v>
      </c>
      <c r="B251" t="s">
        <v>94</v>
      </c>
      <c r="C251" s="24">
        <v>291</v>
      </c>
      <c r="D251" s="24">
        <v>685</v>
      </c>
      <c r="E251" s="8">
        <v>1.73</v>
      </c>
    </row>
    <row r="252" spans="1:5">
      <c r="A252" s="21">
        <v>46277</v>
      </c>
      <c r="B252" t="s">
        <v>94</v>
      </c>
      <c r="C252" s="24">
        <v>314</v>
      </c>
      <c r="D252" s="24">
        <v>712</v>
      </c>
      <c r="E252" s="8">
        <v>1.88</v>
      </c>
    </row>
    <row r="253" spans="1:5">
      <c r="A253" s="21">
        <v>46277</v>
      </c>
      <c r="B253" t="s">
        <v>94</v>
      </c>
      <c r="C253" s="24">
        <v>327</v>
      </c>
      <c r="D253" s="24">
        <v>694</v>
      </c>
      <c r="E253" s="8">
        <v>1.86</v>
      </c>
    </row>
    <row r="254" spans="1:5">
      <c r="A254" s="21">
        <v>46277</v>
      </c>
      <c r="B254" t="s">
        <v>94</v>
      </c>
      <c r="C254" s="24">
        <v>316</v>
      </c>
      <c r="D254" s="24">
        <v>730</v>
      </c>
      <c r="E254" s="8">
        <v>2.08</v>
      </c>
    </row>
    <row r="255" spans="1:5">
      <c r="A255" s="21">
        <v>46277</v>
      </c>
      <c r="B255" t="s">
        <v>94</v>
      </c>
      <c r="C255" s="24">
        <v>340</v>
      </c>
      <c r="D255" s="24">
        <v>718</v>
      </c>
      <c r="E255" s="8">
        <v>2.17</v>
      </c>
    </row>
    <row r="256" spans="1:5">
      <c r="A256" s="21">
        <v>46277</v>
      </c>
      <c r="B256" t="s">
        <v>94</v>
      </c>
      <c r="C256" s="24">
        <v>352</v>
      </c>
      <c r="D256" s="24">
        <v>765</v>
      </c>
      <c r="E256" s="8">
        <v>1.99</v>
      </c>
    </row>
    <row r="257" spans="1:5">
      <c r="A257" s="21">
        <v>46277</v>
      </c>
      <c r="B257" t="s">
        <v>94</v>
      </c>
      <c r="C257" s="24">
        <v>344</v>
      </c>
      <c r="D257" s="24">
        <v>778</v>
      </c>
      <c r="E257" s="8">
        <v>2.34</v>
      </c>
    </row>
    <row r="258" spans="1:5">
      <c r="A258" s="21">
        <v>46277</v>
      </c>
      <c r="B258" t="s">
        <v>94</v>
      </c>
      <c r="C258" s="41">
        <v>368</v>
      </c>
      <c r="D258" s="41">
        <v>762</v>
      </c>
      <c r="E258" s="8">
        <v>2.2400000000000002</v>
      </c>
    </row>
    <row r="259" spans="1:5">
      <c r="A259" s="21">
        <v>46277</v>
      </c>
      <c r="B259" t="s">
        <v>94</v>
      </c>
      <c r="C259" s="40">
        <v>361</v>
      </c>
      <c r="D259" s="40">
        <v>787</v>
      </c>
      <c r="E259" s="8">
        <v>2.0299999999999998</v>
      </c>
    </row>
    <row r="260" spans="1:5">
      <c r="A260" s="21">
        <v>46277</v>
      </c>
      <c r="B260" t="s">
        <v>94</v>
      </c>
      <c r="C260" s="24">
        <v>384</v>
      </c>
      <c r="D260" s="24">
        <v>813</v>
      </c>
      <c r="E260" s="8">
        <v>2.23</v>
      </c>
    </row>
    <row r="261" spans="1:5">
      <c r="A261" s="21">
        <v>46277</v>
      </c>
      <c r="B261" t="s">
        <v>94</v>
      </c>
      <c r="C261" s="24">
        <v>397</v>
      </c>
      <c r="D261" s="24">
        <v>816</v>
      </c>
      <c r="E261" s="8">
        <v>2.2799999999999998</v>
      </c>
    </row>
    <row r="262" spans="1:5">
      <c r="A262" s="21">
        <v>46278</v>
      </c>
      <c r="B262" t="s">
        <v>94</v>
      </c>
      <c r="C262" s="24">
        <v>386</v>
      </c>
      <c r="D262" s="24">
        <v>838</v>
      </c>
      <c r="E262" s="8">
        <v>2.0499999999999998</v>
      </c>
    </row>
    <row r="263" spans="1:5">
      <c r="A263" s="21">
        <v>46278</v>
      </c>
      <c r="B263" t="s">
        <v>94</v>
      </c>
      <c r="C263" s="24">
        <v>410</v>
      </c>
      <c r="D263" s="24">
        <v>867</v>
      </c>
      <c r="E263" s="8">
        <v>2.56</v>
      </c>
    </row>
    <row r="264" spans="1:5">
      <c r="A264" s="21">
        <v>46278</v>
      </c>
      <c r="B264" t="s">
        <v>94</v>
      </c>
      <c r="C264" s="24">
        <v>422</v>
      </c>
      <c r="D264" s="24">
        <v>856</v>
      </c>
      <c r="E264" s="8">
        <v>2.12</v>
      </c>
    </row>
    <row r="265" spans="1:5">
      <c r="A265" s="21">
        <v>46278</v>
      </c>
      <c r="B265" t="s">
        <v>94</v>
      </c>
      <c r="C265" s="24">
        <v>414</v>
      </c>
      <c r="D265" s="24">
        <v>908</v>
      </c>
      <c r="E265" s="8">
        <v>2.2400000000000002</v>
      </c>
    </row>
    <row r="266" spans="1:5">
      <c r="A266" s="21">
        <v>46278</v>
      </c>
      <c r="B266" t="s">
        <v>94</v>
      </c>
      <c r="C266" s="24">
        <v>438</v>
      </c>
      <c r="D266" s="24">
        <v>910</v>
      </c>
      <c r="E266" s="8">
        <v>2.57</v>
      </c>
    </row>
    <row r="267" spans="1:5">
      <c r="A267" s="21">
        <v>46278</v>
      </c>
      <c r="B267" t="s">
        <v>94</v>
      </c>
      <c r="C267" s="24">
        <v>431</v>
      </c>
      <c r="D267" s="24">
        <v>898</v>
      </c>
      <c r="E267" s="8">
        <v>2.27</v>
      </c>
    </row>
    <row r="268" spans="1:5">
      <c r="A268" s="21">
        <v>46278</v>
      </c>
      <c r="B268" t="s">
        <v>94</v>
      </c>
      <c r="C268" s="24">
        <v>454</v>
      </c>
      <c r="D268" s="24">
        <v>931</v>
      </c>
      <c r="E268" s="8">
        <v>2.57</v>
      </c>
    </row>
    <row r="269" spans="1:5">
      <c r="A269" s="21">
        <v>46278</v>
      </c>
      <c r="B269" t="s">
        <v>94</v>
      </c>
      <c r="C269" s="24">
        <v>467</v>
      </c>
      <c r="D269" s="24">
        <v>933</v>
      </c>
      <c r="E269" s="8">
        <v>2.5499999999999998</v>
      </c>
    </row>
    <row r="270" spans="1:5">
      <c r="A270" s="21">
        <v>46278</v>
      </c>
      <c r="B270" t="s">
        <v>94</v>
      </c>
      <c r="C270" s="41">
        <v>456</v>
      </c>
      <c r="D270" s="41">
        <v>962</v>
      </c>
      <c r="E270" s="8">
        <v>2.4900000000000002</v>
      </c>
    </row>
    <row r="271" spans="1:5">
      <c r="A271" s="21">
        <v>46278</v>
      </c>
      <c r="B271" t="s">
        <v>94</v>
      </c>
      <c r="C271" s="24">
        <v>480</v>
      </c>
      <c r="D271" s="24">
        <v>982</v>
      </c>
      <c r="E271" s="8">
        <v>2.71</v>
      </c>
    </row>
    <row r="272" spans="1:5">
      <c r="A272" s="21">
        <v>46278</v>
      </c>
      <c r="B272" t="s">
        <v>95</v>
      </c>
      <c r="C272" s="24">
        <v>494</v>
      </c>
      <c r="D272" s="24">
        <v>977</v>
      </c>
      <c r="E272" s="8">
        <v>0.54</v>
      </c>
    </row>
    <row r="273" spans="1:5">
      <c r="A273" s="21">
        <v>46278</v>
      </c>
      <c r="B273" t="s">
        <v>95</v>
      </c>
      <c r="C273" s="24">
        <v>107</v>
      </c>
      <c r="D273" s="24">
        <v>353</v>
      </c>
      <c r="E273" s="8">
        <v>0.87</v>
      </c>
    </row>
    <row r="274" spans="1:5">
      <c r="A274" s="21">
        <v>46278</v>
      </c>
      <c r="B274" t="s">
        <v>95</v>
      </c>
      <c r="C274" s="24">
        <v>123</v>
      </c>
      <c r="D274" s="24">
        <v>352</v>
      </c>
      <c r="E274" s="8">
        <v>0.77</v>
      </c>
    </row>
    <row r="275" spans="1:5">
      <c r="A275" s="21">
        <v>46278</v>
      </c>
      <c r="B275" t="s">
        <v>95</v>
      </c>
      <c r="C275" s="24">
        <v>116</v>
      </c>
      <c r="D275" s="24">
        <v>387</v>
      </c>
      <c r="E275" s="8">
        <v>0.81</v>
      </c>
    </row>
    <row r="276" spans="1:5">
      <c r="A276" s="21">
        <v>46278</v>
      </c>
      <c r="B276" t="s">
        <v>95</v>
      </c>
      <c r="C276" s="24">
        <v>140</v>
      </c>
      <c r="D276" s="24">
        <v>386</v>
      </c>
      <c r="E276" s="8">
        <v>0.77</v>
      </c>
    </row>
    <row r="277" spans="1:5">
      <c r="A277" s="21">
        <v>46278</v>
      </c>
      <c r="B277" t="s">
        <v>95</v>
      </c>
      <c r="C277" s="24">
        <v>152</v>
      </c>
      <c r="D277" s="24">
        <v>394</v>
      </c>
      <c r="E277" s="8">
        <v>0.97</v>
      </c>
    </row>
    <row r="278" spans="1:5">
      <c r="A278" s="21">
        <v>46278</v>
      </c>
      <c r="B278" t="s">
        <v>95</v>
      </c>
      <c r="C278" s="24">
        <v>144</v>
      </c>
      <c r="D278" s="24">
        <v>416</v>
      </c>
      <c r="E278" s="8">
        <v>0.86</v>
      </c>
    </row>
    <row r="279" spans="1:5">
      <c r="A279" s="21">
        <v>46278</v>
      </c>
      <c r="B279" t="s">
        <v>95</v>
      </c>
      <c r="C279" s="24">
        <v>167</v>
      </c>
      <c r="D279" s="24">
        <v>408</v>
      </c>
      <c r="E279" s="8">
        <v>1.2</v>
      </c>
    </row>
    <row r="280" spans="1:5">
      <c r="A280" s="21">
        <v>46278</v>
      </c>
      <c r="B280" t="s">
        <v>95</v>
      </c>
      <c r="C280" s="24">
        <v>159</v>
      </c>
      <c r="D280" s="24">
        <v>415</v>
      </c>
      <c r="E280" s="8">
        <v>1.07</v>
      </c>
    </row>
    <row r="281" spans="1:5">
      <c r="A281" s="21">
        <v>46278</v>
      </c>
      <c r="B281" t="s">
        <v>95</v>
      </c>
      <c r="C281" s="24">
        <v>182</v>
      </c>
      <c r="D281" s="24">
        <v>427</v>
      </c>
      <c r="E281" s="8">
        <v>1.1599999999999999</v>
      </c>
    </row>
    <row r="282" spans="1:5">
      <c r="A282" s="21">
        <v>46278</v>
      </c>
      <c r="B282" t="s">
        <v>95</v>
      </c>
      <c r="C282" s="24">
        <v>195</v>
      </c>
      <c r="D282" s="24">
        <v>459</v>
      </c>
      <c r="E282" s="8">
        <v>1.1200000000000001</v>
      </c>
    </row>
    <row r="283" spans="1:5">
      <c r="A283" s="21">
        <v>46278</v>
      </c>
      <c r="B283" t="s">
        <v>95</v>
      </c>
      <c r="C283" s="24">
        <v>184</v>
      </c>
      <c r="D283" s="24">
        <v>473</v>
      </c>
      <c r="E283" s="8">
        <v>0.95</v>
      </c>
    </row>
    <row r="284" spans="1:5">
      <c r="A284" s="21">
        <v>46278</v>
      </c>
      <c r="B284" t="s">
        <v>95</v>
      </c>
      <c r="C284" s="41">
        <v>208</v>
      </c>
      <c r="D284" s="41">
        <v>484</v>
      </c>
      <c r="E284" s="8">
        <v>1.4</v>
      </c>
    </row>
    <row r="285" spans="1:5">
      <c r="A285" s="21">
        <v>46278</v>
      </c>
      <c r="B285" t="s">
        <v>95</v>
      </c>
      <c r="C285" s="40">
        <v>220</v>
      </c>
      <c r="D285" s="40">
        <v>485</v>
      </c>
      <c r="E285" s="8">
        <v>1.39</v>
      </c>
    </row>
    <row r="286" spans="1:5">
      <c r="A286" s="21">
        <v>46278</v>
      </c>
      <c r="B286" t="s">
        <v>95</v>
      </c>
      <c r="C286" s="24">
        <v>212</v>
      </c>
      <c r="D286" s="24">
        <v>517</v>
      </c>
      <c r="E286" s="8">
        <v>1.31</v>
      </c>
    </row>
    <row r="287" spans="1:5">
      <c r="A287" s="21">
        <v>46278</v>
      </c>
      <c r="B287" t="s">
        <v>95</v>
      </c>
      <c r="C287" s="24">
        <v>236</v>
      </c>
      <c r="D287" s="24">
        <v>512</v>
      </c>
      <c r="E287" s="8">
        <v>1.33</v>
      </c>
    </row>
    <row r="288" spans="1:5">
      <c r="A288" s="21">
        <v>46279</v>
      </c>
      <c r="B288" t="s">
        <v>95</v>
      </c>
      <c r="C288" s="24">
        <v>229</v>
      </c>
      <c r="D288" s="24">
        <v>530</v>
      </c>
      <c r="E288" s="24">
        <v>1.24</v>
      </c>
    </row>
    <row r="289" spans="1:5">
      <c r="A289" s="21">
        <v>46279</v>
      </c>
      <c r="B289" t="s">
        <v>95</v>
      </c>
      <c r="C289" s="24">
        <v>252</v>
      </c>
      <c r="D289" s="24">
        <v>537</v>
      </c>
      <c r="E289" s="24">
        <v>1.34</v>
      </c>
    </row>
    <row r="290" spans="1:5">
      <c r="A290" s="21">
        <v>46279</v>
      </c>
      <c r="B290" t="s">
        <v>95</v>
      </c>
      <c r="C290" s="24">
        <v>265</v>
      </c>
      <c r="D290" s="24">
        <v>545</v>
      </c>
      <c r="E290" s="24">
        <v>1.46</v>
      </c>
    </row>
    <row r="291" spans="1:5">
      <c r="A291" s="21">
        <v>46279</v>
      </c>
      <c r="B291" t="s">
        <v>95</v>
      </c>
      <c r="C291" s="24">
        <v>254</v>
      </c>
      <c r="D291" s="24">
        <v>557</v>
      </c>
      <c r="E291" s="24">
        <v>1.31</v>
      </c>
    </row>
    <row r="292" spans="1:5">
      <c r="A292" s="21">
        <v>46279</v>
      </c>
      <c r="B292" t="s">
        <v>95</v>
      </c>
      <c r="C292" s="24">
        <v>278</v>
      </c>
      <c r="D292" s="24">
        <v>566</v>
      </c>
      <c r="E292" s="24">
        <v>1.38</v>
      </c>
    </row>
    <row r="293" spans="1:5">
      <c r="A293" s="21">
        <v>46279</v>
      </c>
      <c r="B293" t="s">
        <v>95</v>
      </c>
      <c r="C293" s="24">
        <v>290</v>
      </c>
      <c r="D293" s="24">
        <v>599</v>
      </c>
      <c r="E293" s="24">
        <v>1.42</v>
      </c>
    </row>
    <row r="294" spans="1:5">
      <c r="A294" s="21">
        <v>46279</v>
      </c>
      <c r="B294" t="s">
        <v>95</v>
      </c>
      <c r="C294" s="24">
        <v>282</v>
      </c>
      <c r="D294" s="24">
        <v>611</v>
      </c>
      <c r="E294" s="24">
        <v>1.74</v>
      </c>
    </row>
    <row r="295" spans="1:5">
      <c r="A295" s="21">
        <v>46279</v>
      </c>
      <c r="B295" t="s">
        <v>95</v>
      </c>
      <c r="C295" s="24">
        <v>306</v>
      </c>
      <c r="D295" s="24">
        <v>625</v>
      </c>
      <c r="E295" s="24">
        <v>1.48</v>
      </c>
    </row>
    <row r="296" spans="1:5">
      <c r="A296" s="21">
        <v>46279</v>
      </c>
      <c r="B296" t="s">
        <v>95</v>
      </c>
      <c r="C296" s="41">
        <v>299</v>
      </c>
      <c r="D296" s="41">
        <v>638</v>
      </c>
      <c r="E296" s="8">
        <v>1.61</v>
      </c>
    </row>
    <row r="297" spans="1:5">
      <c r="A297" s="21">
        <v>46279</v>
      </c>
      <c r="B297" t="s">
        <v>95</v>
      </c>
      <c r="C297" s="24">
        <v>322</v>
      </c>
      <c r="D297" s="24">
        <v>632</v>
      </c>
      <c r="E297" s="24">
        <v>1.84</v>
      </c>
    </row>
    <row r="298" spans="1:5">
      <c r="A298" s="21">
        <v>46279</v>
      </c>
      <c r="B298" t="s">
        <v>95</v>
      </c>
      <c r="C298" s="24">
        <v>335</v>
      </c>
      <c r="D298" s="24">
        <v>656</v>
      </c>
      <c r="E298" s="24">
        <v>1.83</v>
      </c>
    </row>
    <row r="299" spans="1:5">
      <c r="A299" s="21">
        <v>46279</v>
      </c>
      <c r="B299" t="s">
        <v>95</v>
      </c>
      <c r="C299" s="24">
        <v>324</v>
      </c>
      <c r="D299" s="24">
        <v>660</v>
      </c>
      <c r="E299" s="24">
        <v>1.66</v>
      </c>
    </row>
    <row r="300" spans="1:5">
      <c r="A300" s="21">
        <v>46279</v>
      </c>
      <c r="B300" t="s">
        <v>95</v>
      </c>
      <c r="C300" s="24">
        <v>348</v>
      </c>
      <c r="D300" s="24">
        <v>697</v>
      </c>
      <c r="E300" s="24">
        <v>1.54</v>
      </c>
    </row>
    <row r="301" spans="1:5">
      <c r="A301" s="21">
        <v>46279</v>
      </c>
      <c r="B301" t="s">
        <v>95</v>
      </c>
      <c r="C301" s="24">
        <v>360</v>
      </c>
      <c r="D301" s="24">
        <v>727</v>
      </c>
      <c r="E301" s="24">
        <v>1.94</v>
      </c>
    </row>
    <row r="302" spans="1:5">
      <c r="A302" s="21">
        <v>46279</v>
      </c>
      <c r="B302" t="s">
        <v>95</v>
      </c>
      <c r="C302" s="24">
        <v>352</v>
      </c>
      <c r="D302" s="24">
        <v>703</v>
      </c>
      <c r="E302" s="24">
        <v>1.88</v>
      </c>
    </row>
    <row r="303" spans="1:5">
      <c r="A303" s="21">
        <v>46279</v>
      </c>
      <c r="B303" t="s">
        <v>95</v>
      </c>
      <c r="C303" s="24">
        <v>376</v>
      </c>
      <c r="D303" s="24">
        <v>710</v>
      </c>
      <c r="E303" s="24">
        <v>2.02</v>
      </c>
    </row>
    <row r="304" spans="1:5">
      <c r="A304" s="21">
        <v>46279</v>
      </c>
      <c r="B304" t="s">
        <v>95</v>
      </c>
      <c r="C304" s="24">
        <v>369</v>
      </c>
      <c r="D304" s="24">
        <v>731</v>
      </c>
      <c r="E304" s="24">
        <v>1.76</v>
      </c>
    </row>
    <row r="305" spans="1:5">
      <c r="A305" s="21">
        <v>46279</v>
      </c>
      <c r="B305" t="s">
        <v>95</v>
      </c>
      <c r="C305" s="24">
        <v>392</v>
      </c>
      <c r="D305" s="24">
        <v>752</v>
      </c>
      <c r="E305" s="24">
        <v>1.85</v>
      </c>
    </row>
    <row r="306" spans="1:5">
      <c r="A306" s="21">
        <v>46279</v>
      </c>
      <c r="B306" t="s">
        <v>95</v>
      </c>
      <c r="C306" s="24">
        <v>405</v>
      </c>
      <c r="D306" s="24">
        <v>781</v>
      </c>
      <c r="E306" s="24">
        <v>2.14</v>
      </c>
    </row>
    <row r="307" spans="1:5">
      <c r="A307" s="21">
        <v>46279</v>
      </c>
      <c r="B307" t="s">
        <v>95</v>
      </c>
      <c r="C307" s="24">
        <v>394</v>
      </c>
      <c r="D307" s="24">
        <v>778</v>
      </c>
      <c r="E307" s="24">
        <v>2.0099999999999998</v>
      </c>
    </row>
    <row r="308" spans="1:5">
      <c r="A308" s="21">
        <v>46279</v>
      </c>
      <c r="B308" t="s">
        <v>95</v>
      </c>
      <c r="C308" s="24">
        <v>418</v>
      </c>
      <c r="D308" s="24">
        <v>796</v>
      </c>
      <c r="E308" s="24">
        <v>2.09</v>
      </c>
    </row>
    <row r="309" spans="1:5">
      <c r="A309" s="21">
        <v>46279</v>
      </c>
      <c r="B309" t="s">
        <v>95</v>
      </c>
      <c r="C309" s="24">
        <v>430</v>
      </c>
      <c r="D309" s="24">
        <v>797</v>
      </c>
      <c r="E309" s="24">
        <v>2.27</v>
      </c>
    </row>
    <row r="310" spans="1:5">
      <c r="A310" s="21">
        <v>46279</v>
      </c>
      <c r="B310" t="s">
        <v>95</v>
      </c>
      <c r="C310" s="41">
        <v>422</v>
      </c>
      <c r="D310" s="41">
        <v>830</v>
      </c>
      <c r="E310" s="8">
        <v>2.34</v>
      </c>
    </row>
    <row r="311" spans="1:5">
      <c r="A311" s="21">
        <v>46279</v>
      </c>
      <c r="B311" t="s">
        <v>95</v>
      </c>
      <c r="C311" s="40">
        <v>446</v>
      </c>
      <c r="D311" s="40">
        <v>846</v>
      </c>
      <c r="E311" s="8">
        <v>2.25</v>
      </c>
    </row>
    <row r="312" spans="1:5">
      <c r="A312" s="21">
        <v>46279</v>
      </c>
      <c r="B312" t="s">
        <v>95</v>
      </c>
      <c r="C312" s="24">
        <v>439</v>
      </c>
      <c r="D312" s="24">
        <v>851</v>
      </c>
      <c r="E312" s="24">
        <v>2.4700000000000002</v>
      </c>
    </row>
    <row r="313" spans="1:5">
      <c r="A313" s="21">
        <v>46279</v>
      </c>
      <c r="B313" t="s">
        <v>95</v>
      </c>
      <c r="C313" s="24">
        <v>462</v>
      </c>
      <c r="D313" s="24">
        <v>869</v>
      </c>
      <c r="E313" s="24">
        <v>2.25</v>
      </c>
    </row>
    <row r="314" spans="1:5">
      <c r="A314" s="21">
        <v>46280</v>
      </c>
      <c r="B314" t="s">
        <v>95</v>
      </c>
      <c r="C314" s="24">
        <v>475</v>
      </c>
      <c r="D314" s="24">
        <v>894</v>
      </c>
      <c r="E314" s="24">
        <v>2.38</v>
      </c>
    </row>
    <row r="315" spans="1:5">
      <c r="A315" s="21">
        <v>46280</v>
      </c>
      <c r="B315" t="s">
        <v>95</v>
      </c>
      <c r="C315" s="24">
        <v>464</v>
      </c>
      <c r="D315" s="24">
        <v>881</v>
      </c>
      <c r="E315" s="24">
        <v>2.23</v>
      </c>
    </row>
    <row r="316" spans="1:5">
      <c r="A316" s="21">
        <v>46280</v>
      </c>
      <c r="B316" t="s">
        <v>95</v>
      </c>
      <c r="C316" s="24">
        <v>488</v>
      </c>
      <c r="D316" s="24">
        <v>920</v>
      </c>
      <c r="E316" s="24">
        <v>2.2599999999999998</v>
      </c>
    </row>
    <row r="317" spans="1:5">
      <c r="A317" s="21">
        <v>46280</v>
      </c>
      <c r="B317" t="s">
        <v>96</v>
      </c>
      <c r="C317" s="24">
        <v>500</v>
      </c>
      <c r="D317" s="24">
        <v>934</v>
      </c>
      <c r="E317" s="24">
        <v>1.1499999999999999</v>
      </c>
    </row>
    <row r="318" spans="1:5">
      <c r="A318" s="21">
        <v>46280</v>
      </c>
      <c r="B318" t="s">
        <v>96</v>
      </c>
      <c r="C318" s="24">
        <v>116</v>
      </c>
      <c r="D318" s="24">
        <v>375</v>
      </c>
      <c r="E318" s="24">
        <v>0.87</v>
      </c>
    </row>
    <row r="319" spans="1:5">
      <c r="A319" s="21">
        <v>46280</v>
      </c>
      <c r="B319" t="s">
        <v>96</v>
      </c>
      <c r="C319" s="24">
        <v>132</v>
      </c>
      <c r="D319" s="24">
        <v>383</v>
      </c>
      <c r="E319" s="24">
        <v>1.42</v>
      </c>
    </row>
    <row r="320" spans="1:5">
      <c r="A320" s="21">
        <v>46280</v>
      </c>
      <c r="B320" t="s">
        <v>96</v>
      </c>
      <c r="C320" s="24">
        <v>125</v>
      </c>
      <c r="D320" s="24">
        <v>406</v>
      </c>
      <c r="E320" s="24">
        <v>1.08</v>
      </c>
    </row>
    <row r="321" spans="1:5">
      <c r="A321" s="21">
        <v>46280</v>
      </c>
      <c r="B321" t="s">
        <v>96</v>
      </c>
      <c r="C321" s="24">
        <v>148</v>
      </c>
      <c r="D321" s="24">
        <v>392</v>
      </c>
      <c r="E321" s="24">
        <v>1.47</v>
      </c>
    </row>
    <row r="322" spans="1:5">
      <c r="A322" s="21">
        <v>46280</v>
      </c>
      <c r="B322" t="s">
        <v>96</v>
      </c>
      <c r="C322" s="41">
        <v>160</v>
      </c>
      <c r="D322" s="41">
        <v>424</v>
      </c>
      <c r="E322" s="8">
        <v>1.45</v>
      </c>
    </row>
    <row r="323" spans="1:5">
      <c r="A323" s="21">
        <v>46280</v>
      </c>
      <c r="B323" t="s">
        <v>96</v>
      </c>
      <c r="C323" s="24">
        <v>152</v>
      </c>
      <c r="D323" s="24">
        <v>445</v>
      </c>
      <c r="E323" s="24">
        <v>1.28</v>
      </c>
    </row>
    <row r="324" spans="1:5">
      <c r="A324" s="21">
        <v>46280</v>
      </c>
      <c r="B324" t="s">
        <v>96</v>
      </c>
      <c r="C324" s="24">
        <v>175</v>
      </c>
      <c r="D324" s="24">
        <v>424</v>
      </c>
      <c r="E324" s="24">
        <v>1.32</v>
      </c>
    </row>
    <row r="325" spans="1:5">
      <c r="A325" s="21">
        <v>46280</v>
      </c>
      <c r="B325" t="s">
        <v>96</v>
      </c>
      <c r="C325" s="24">
        <v>167</v>
      </c>
      <c r="D325" s="24">
        <v>442</v>
      </c>
      <c r="E325" s="24">
        <v>1.3</v>
      </c>
    </row>
    <row r="326" spans="1:5">
      <c r="A326" s="21">
        <v>46280</v>
      </c>
      <c r="B326" t="s">
        <v>96</v>
      </c>
      <c r="C326" s="24">
        <v>190</v>
      </c>
      <c r="D326" s="24">
        <v>441</v>
      </c>
      <c r="E326" s="24">
        <v>1.33</v>
      </c>
    </row>
    <row r="327" spans="1:5">
      <c r="A327" s="21">
        <v>46280</v>
      </c>
      <c r="B327" t="s">
        <v>96</v>
      </c>
      <c r="C327" s="24">
        <v>203</v>
      </c>
      <c r="D327" s="24">
        <v>470</v>
      </c>
      <c r="E327" s="24">
        <v>1.5</v>
      </c>
    </row>
    <row r="328" spans="1:5">
      <c r="A328" s="21">
        <v>46280</v>
      </c>
      <c r="B328" t="s">
        <v>96</v>
      </c>
      <c r="C328" s="24">
        <v>192</v>
      </c>
      <c r="D328" s="24">
        <v>499</v>
      </c>
      <c r="E328" s="24">
        <v>1.87</v>
      </c>
    </row>
    <row r="329" spans="1:5">
      <c r="A329" s="21">
        <v>46280</v>
      </c>
      <c r="B329" t="s">
        <v>96</v>
      </c>
      <c r="C329" s="24">
        <v>216</v>
      </c>
      <c r="D329" s="24">
        <v>482</v>
      </c>
      <c r="E329" s="24">
        <v>1.47</v>
      </c>
    </row>
    <row r="330" spans="1:5">
      <c r="A330" s="21">
        <v>46280</v>
      </c>
      <c r="B330" t="s">
        <v>96</v>
      </c>
      <c r="C330" s="24">
        <v>228</v>
      </c>
      <c r="D330" s="24">
        <v>505</v>
      </c>
      <c r="E330" s="24">
        <v>1.26</v>
      </c>
    </row>
    <row r="331" spans="1:5">
      <c r="A331" s="21">
        <v>46280</v>
      </c>
      <c r="B331" t="s">
        <v>96</v>
      </c>
      <c r="C331" s="24">
        <v>220</v>
      </c>
      <c r="D331" s="24">
        <v>548</v>
      </c>
      <c r="E331" s="24">
        <v>1.57</v>
      </c>
    </row>
    <row r="332" spans="1:5">
      <c r="A332" s="21">
        <v>46280</v>
      </c>
      <c r="B332" t="s">
        <v>96</v>
      </c>
      <c r="C332" s="24">
        <v>244</v>
      </c>
      <c r="D332" s="24">
        <v>539</v>
      </c>
      <c r="E332" s="24">
        <v>1.57</v>
      </c>
    </row>
    <row r="333" spans="1:5">
      <c r="A333" s="21">
        <v>46280</v>
      </c>
      <c r="B333" t="s">
        <v>96</v>
      </c>
      <c r="C333" s="24">
        <v>237</v>
      </c>
      <c r="D333" s="24">
        <v>550</v>
      </c>
      <c r="E333" s="24">
        <v>1.71</v>
      </c>
    </row>
    <row r="334" spans="1:5">
      <c r="A334" s="21">
        <v>46280</v>
      </c>
      <c r="B334" t="s">
        <v>96</v>
      </c>
      <c r="C334" s="24">
        <v>260</v>
      </c>
      <c r="D334" s="24">
        <v>563</v>
      </c>
      <c r="E334" s="24">
        <v>1.89</v>
      </c>
    </row>
    <row r="335" spans="1:5">
      <c r="A335" s="21">
        <v>46280</v>
      </c>
      <c r="B335" t="s">
        <v>96</v>
      </c>
      <c r="C335" s="24">
        <v>273</v>
      </c>
      <c r="D335" s="24">
        <v>574</v>
      </c>
      <c r="E335" s="24">
        <v>1.8</v>
      </c>
    </row>
    <row r="336" spans="1:5">
      <c r="A336" s="21">
        <v>46280</v>
      </c>
      <c r="B336" t="s">
        <v>96</v>
      </c>
      <c r="C336" s="41">
        <v>262</v>
      </c>
      <c r="D336" s="41">
        <v>589</v>
      </c>
      <c r="E336" s="8">
        <v>1.38</v>
      </c>
    </row>
    <row r="337" spans="1:5">
      <c r="A337" s="21">
        <v>46280</v>
      </c>
      <c r="B337" t="s">
        <v>96</v>
      </c>
      <c r="C337" s="40">
        <v>286</v>
      </c>
      <c r="D337" s="40">
        <v>601</v>
      </c>
      <c r="E337" s="8">
        <v>1.74</v>
      </c>
    </row>
    <row r="338" spans="1:5">
      <c r="A338" s="21">
        <v>46280</v>
      </c>
      <c r="B338" t="s">
        <v>96</v>
      </c>
      <c r="C338" s="24">
        <v>298</v>
      </c>
      <c r="D338" s="24">
        <v>615</v>
      </c>
      <c r="E338" s="24">
        <v>1.88</v>
      </c>
    </row>
    <row r="339" spans="1:5">
      <c r="A339" s="21">
        <v>46280</v>
      </c>
      <c r="B339" t="s">
        <v>96</v>
      </c>
      <c r="C339" s="24">
        <v>290</v>
      </c>
      <c r="D339" s="24">
        <v>615</v>
      </c>
      <c r="E339" s="24">
        <v>1.9</v>
      </c>
    </row>
    <row r="340" spans="1:5">
      <c r="A340" s="21">
        <v>46281</v>
      </c>
      <c r="B340" t="s">
        <v>96</v>
      </c>
      <c r="C340" s="24">
        <v>314</v>
      </c>
      <c r="D340" s="24">
        <v>627</v>
      </c>
      <c r="E340" s="24">
        <v>2.09</v>
      </c>
    </row>
    <row r="341" spans="1:5">
      <c r="A341" s="21">
        <v>46281</v>
      </c>
      <c r="B341" t="s">
        <v>96</v>
      </c>
      <c r="C341" s="24">
        <v>307</v>
      </c>
      <c r="D341" s="24">
        <v>652</v>
      </c>
      <c r="E341" s="24">
        <v>1.81</v>
      </c>
    </row>
    <row r="342" spans="1:5">
      <c r="A342" s="21">
        <v>46281</v>
      </c>
      <c r="B342" t="s">
        <v>96</v>
      </c>
      <c r="C342" s="24">
        <v>330</v>
      </c>
      <c r="D342" s="24">
        <v>685</v>
      </c>
      <c r="E342" s="24">
        <v>1.83</v>
      </c>
    </row>
    <row r="343" spans="1:5">
      <c r="A343" s="21">
        <v>46281</v>
      </c>
      <c r="B343" t="s">
        <v>96</v>
      </c>
      <c r="C343" s="24">
        <v>343</v>
      </c>
      <c r="D343" s="24">
        <v>681</v>
      </c>
      <c r="E343" s="24">
        <v>1.9</v>
      </c>
    </row>
    <row r="344" spans="1:5">
      <c r="A344" s="21">
        <v>46281</v>
      </c>
      <c r="B344" t="s">
        <v>96</v>
      </c>
      <c r="C344" s="24">
        <v>332</v>
      </c>
      <c r="D344" s="24">
        <v>684</v>
      </c>
      <c r="E344" s="24">
        <v>1.78</v>
      </c>
    </row>
    <row r="345" spans="1:5">
      <c r="A345" s="21">
        <v>46281</v>
      </c>
      <c r="B345" t="s">
        <v>96</v>
      </c>
      <c r="C345" s="24">
        <v>356</v>
      </c>
      <c r="D345" s="24">
        <v>713</v>
      </c>
      <c r="E345" s="24">
        <v>2.0099999999999998</v>
      </c>
    </row>
    <row r="346" spans="1:5">
      <c r="A346" s="21">
        <v>46281</v>
      </c>
      <c r="B346" t="s">
        <v>96</v>
      </c>
      <c r="C346" s="24">
        <v>368</v>
      </c>
      <c r="D346" s="24">
        <v>735</v>
      </c>
      <c r="E346" s="24">
        <v>1.95</v>
      </c>
    </row>
    <row r="347" spans="1:5">
      <c r="A347" s="21">
        <v>46281</v>
      </c>
      <c r="B347" t="s">
        <v>96</v>
      </c>
      <c r="C347" s="24">
        <v>360</v>
      </c>
      <c r="D347" s="24">
        <v>749</v>
      </c>
      <c r="E347" s="24">
        <v>2.21</v>
      </c>
    </row>
    <row r="348" spans="1:5">
      <c r="A348" s="21">
        <v>46281</v>
      </c>
      <c r="B348" t="s">
        <v>96</v>
      </c>
      <c r="C348" s="41">
        <v>384</v>
      </c>
      <c r="D348" s="41">
        <v>727</v>
      </c>
      <c r="E348" s="8">
        <v>2.14</v>
      </c>
    </row>
    <row r="349" spans="1:5">
      <c r="A349" s="21">
        <v>46281</v>
      </c>
      <c r="B349" t="s">
        <v>96</v>
      </c>
      <c r="C349" s="24">
        <v>377</v>
      </c>
      <c r="D349" s="24">
        <v>763</v>
      </c>
      <c r="E349" s="24">
        <v>1.92</v>
      </c>
    </row>
    <row r="350" spans="1:5">
      <c r="A350" s="21">
        <v>46281</v>
      </c>
      <c r="B350" t="s">
        <v>96</v>
      </c>
      <c r="C350" s="24">
        <v>400</v>
      </c>
      <c r="D350" s="24">
        <v>794</v>
      </c>
      <c r="E350" s="24">
        <v>2.09</v>
      </c>
    </row>
    <row r="351" spans="1:5">
      <c r="A351" s="21">
        <v>46281</v>
      </c>
      <c r="B351" t="s">
        <v>96</v>
      </c>
      <c r="C351" s="24">
        <v>413</v>
      </c>
      <c r="D351" s="24">
        <v>780</v>
      </c>
      <c r="E351" s="24">
        <v>2.34</v>
      </c>
    </row>
    <row r="352" spans="1:5">
      <c r="A352" s="21">
        <v>46281</v>
      </c>
      <c r="B352" t="s">
        <v>96</v>
      </c>
      <c r="C352" s="24">
        <v>402</v>
      </c>
      <c r="D352" s="24">
        <v>803</v>
      </c>
      <c r="E352" s="24">
        <v>2.02</v>
      </c>
    </row>
    <row r="353" spans="1:5">
      <c r="A353" s="21">
        <v>46281</v>
      </c>
      <c r="B353" t="s">
        <v>96</v>
      </c>
      <c r="C353" s="24">
        <v>426</v>
      </c>
      <c r="D353" s="24">
        <v>819</v>
      </c>
      <c r="E353" s="24">
        <v>2.2799999999999998</v>
      </c>
    </row>
    <row r="354" spans="1:5">
      <c r="A354" s="21">
        <v>46281</v>
      </c>
      <c r="B354" t="s">
        <v>96</v>
      </c>
      <c r="C354" s="24">
        <v>438</v>
      </c>
      <c r="D354" s="24">
        <v>844</v>
      </c>
      <c r="E354" s="24">
        <v>2.19</v>
      </c>
    </row>
    <row r="355" spans="1:5">
      <c r="A355" s="21">
        <v>46281</v>
      </c>
      <c r="B355" t="s">
        <v>96</v>
      </c>
      <c r="C355" s="24">
        <v>430</v>
      </c>
      <c r="D355" s="24">
        <v>861</v>
      </c>
      <c r="E355" s="24">
        <v>2.29</v>
      </c>
    </row>
    <row r="356" spans="1:5">
      <c r="A356" s="21">
        <v>46281</v>
      </c>
      <c r="B356" t="s">
        <v>96</v>
      </c>
      <c r="C356" s="24">
        <v>454</v>
      </c>
      <c r="D356" s="24">
        <v>860</v>
      </c>
      <c r="E356" s="24">
        <v>2.4700000000000002</v>
      </c>
    </row>
    <row r="357" spans="1:5">
      <c r="A357" s="21">
        <v>46281</v>
      </c>
      <c r="B357" t="s">
        <v>96</v>
      </c>
      <c r="C357" s="24">
        <v>447</v>
      </c>
      <c r="D357" s="24">
        <v>871</v>
      </c>
      <c r="E357" s="24">
        <v>2.56</v>
      </c>
    </row>
    <row r="358" spans="1:5">
      <c r="A358" s="21">
        <v>46281</v>
      </c>
      <c r="B358" t="s">
        <v>96</v>
      </c>
      <c r="C358" s="24">
        <v>470</v>
      </c>
      <c r="D358" s="24">
        <v>899</v>
      </c>
      <c r="E358" s="24">
        <v>2.35</v>
      </c>
    </row>
    <row r="359" spans="1:5">
      <c r="A359" s="21">
        <v>46281</v>
      </c>
      <c r="B359" t="s">
        <v>96</v>
      </c>
      <c r="C359" s="24">
        <v>483</v>
      </c>
      <c r="D359" s="24">
        <v>885</v>
      </c>
      <c r="E359" s="24">
        <v>2.62</v>
      </c>
    </row>
    <row r="360" spans="1:5">
      <c r="A360" s="21">
        <v>46281</v>
      </c>
      <c r="B360" t="s">
        <v>96</v>
      </c>
      <c r="C360" s="24">
        <v>472</v>
      </c>
      <c r="D360" s="24">
        <v>886</v>
      </c>
      <c r="E360" s="24">
        <v>2.72</v>
      </c>
    </row>
    <row r="361" spans="1:5">
      <c r="A361" s="21">
        <v>46281</v>
      </c>
      <c r="B361" t="s">
        <v>96</v>
      </c>
      <c r="C361" s="24">
        <v>496</v>
      </c>
      <c r="D361" s="24">
        <v>909</v>
      </c>
      <c r="E361" s="24">
        <v>2.4500000000000002</v>
      </c>
    </row>
    <row r="362" spans="1:5">
      <c r="A362" s="21">
        <v>46281</v>
      </c>
      <c r="B362" t="s">
        <v>97</v>
      </c>
      <c r="C362" s="41">
        <v>499</v>
      </c>
      <c r="D362" s="41">
        <v>913</v>
      </c>
      <c r="E362" s="8">
        <v>1.1100000000000001</v>
      </c>
    </row>
    <row r="363" spans="1:5">
      <c r="A363" s="21">
        <v>46281</v>
      </c>
      <c r="B363" t="s">
        <v>97</v>
      </c>
      <c r="C363" s="40">
        <v>103</v>
      </c>
      <c r="D363" s="40">
        <v>310</v>
      </c>
      <c r="E363" s="8">
        <v>0.87</v>
      </c>
    </row>
    <row r="364" spans="1:5">
      <c r="A364" s="21">
        <v>46281</v>
      </c>
      <c r="B364" t="s">
        <v>97</v>
      </c>
      <c r="C364" s="24">
        <v>120</v>
      </c>
      <c r="D364" s="24">
        <v>345</v>
      </c>
      <c r="E364" s="24">
        <v>0.84</v>
      </c>
    </row>
    <row r="365" spans="1:5">
      <c r="A365" s="21">
        <v>46281</v>
      </c>
      <c r="B365" t="s">
        <v>97</v>
      </c>
      <c r="C365" s="24">
        <v>113</v>
      </c>
      <c r="D365" s="24">
        <v>344</v>
      </c>
      <c r="E365" s="24">
        <v>1.1399999999999999</v>
      </c>
    </row>
    <row r="366" spans="1:5">
      <c r="A366" s="21">
        <v>46282</v>
      </c>
      <c r="B366" t="s">
        <v>97</v>
      </c>
      <c r="C366" s="24">
        <v>136</v>
      </c>
      <c r="D366" s="24">
        <v>336</v>
      </c>
      <c r="E366" s="24">
        <v>1.2</v>
      </c>
    </row>
    <row r="367" spans="1:5">
      <c r="A367" s="21">
        <v>46282</v>
      </c>
      <c r="B367" t="s">
        <v>97</v>
      </c>
      <c r="C367" s="24">
        <v>148</v>
      </c>
      <c r="D367" s="24">
        <v>361</v>
      </c>
      <c r="E367" s="24">
        <v>1.1599999999999999</v>
      </c>
    </row>
    <row r="368" spans="1:5">
      <c r="A368" s="21">
        <v>46282</v>
      </c>
      <c r="B368" t="s">
        <v>97</v>
      </c>
      <c r="C368" s="24">
        <v>140</v>
      </c>
      <c r="D368" s="24">
        <v>395</v>
      </c>
      <c r="E368" s="24">
        <v>1.18</v>
      </c>
    </row>
    <row r="369" spans="1:5">
      <c r="A369" s="21">
        <v>46282</v>
      </c>
      <c r="B369" t="s">
        <v>97</v>
      </c>
      <c r="C369" s="24">
        <v>163</v>
      </c>
      <c r="D369" s="24">
        <v>405</v>
      </c>
      <c r="E369" s="24">
        <v>1.37</v>
      </c>
    </row>
    <row r="370" spans="1:5">
      <c r="A370" s="21">
        <v>46282</v>
      </c>
      <c r="B370" t="s">
        <v>97</v>
      </c>
      <c r="C370" s="24">
        <v>155</v>
      </c>
      <c r="D370" s="24">
        <v>437</v>
      </c>
      <c r="E370" s="24">
        <v>1.41</v>
      </c>
    </row>
    <row r="371" spans="1:5">
      <c r="A371" s="21">
        <v>46282</v>
      </c>
      <c r="B371" t="s">
        <v>97</v>
      </c>
      <c r="C371" s="24">
        <v>178</v>
      </c>
      <c r="D371" s="24">
        <v>413</v>
      </c>
      <c r="E371" s="24">
        <v>1.1000000000000001</v>
      </c>
    </row>
    <row r="372" spans="1:5">
      <c r="A372" s="21">
        <v>46282</v>
      </c>
      <c r="B372" t="s">
        <v>97</v>
      </c>
      <c r="C372" s="24">
        <v>191</v>
      </c>
      <c r="D372" s="24">
        <v>454</v>
      </c>
      <c r="E372" s="24">
        <v>1.1100000000000001</v>
      </c>
    </row>
    <row r="373" spans="1:5">
      <c r="A373" s="21">
        <v>46282</v>
      </c>
      <c r="B373" t="s">
        <v>97</v>
      </c>
      <c r="C373" s="24">
        <v>180</v>
      </c>
      <c r="D373" s="24">
        <v>473</v>
      </c>
      <c r="E373" s="24">
        <v>1.29</v>
      </c>
    </row>
    <row r="374" spans="1:5">
      <c r="A374" s="21">
        <v>46282</v>
      </c>
      <c r="B374" t="s">
        <v>97</v>
      </c>
      <c r="C374" s="41">
        <v>204</v>
      </c>
      <c r="D374" s="41">
        <v>486</v>
      </c>
      <c r="E374" s="8">
        <v>1.26</v>
      </c>
    </row>
    <row r="375" spans="1:5">
      <c r="A375" s="21">
        <v>46282</v>
      </c>
      <c r="B375" t="s">
        <v>97</v>
      </c>
      <c r="C375" s="24">
        <v>216</v>
      </c>
      <c r="D375" s="24">
        <v>496</v>
      </c>
      <c r="E375" s="24">
        <v>1.25</v>
      </c>
    </row>
    <row r="376" spans="1:5">
      <c r="A376" s="21">
        <v>46282</v>
      </c>
      <c r="B376" t="s">
        <v>97</v>
      </c>
      <c r="C376" s="24">
        <v>208</v>
      </c>
      <c r="D376" s="24">
        <v>519</v>
      </c>
      <c r="E376" s="24">
        <v>1.28</v>
      </c>
    </row>
    <row r="377" spans="1:5">
      <c r="A377" s="21">
        <v>46282</v>
      </c>
      <c r="B377" t="s">
        <v>97</v>
      </c>
      <c r="C377" s="24">
        <v>232</v>
      </c>
      <c r="D377" s="24">
        <v>498</v>
      </c>
      <c r="E377" s="24">
        <v>1.21</v>
      </c>
    </row>
    <row r="378" spans="1:5">
      <c r="A378" s="21">
        <v>46282</v>
      </c>
      <c r="B378" t="s">
        <v>97</v>
      </c>
      <c r="C378" s="24">
        <v>225</v>
      </c>
      <c r="D378" s="24">
        <v>516</v>
      </c>
      <c r="E378" s="24">
        <v>1.74</v>
      </c>
    </row>
    <row r="379" spans="1:5">
      <c r="A379" s="21">
        <v>46282</v>
      </c>
      <c r="B379" t="s">
        <v>97</v>
      </c>
      <c r="C379" s="24">
        <v>248</v>
      </c>
      <c r="D379" s="24">
        <v>564</v>
      </c>
      <c r="E379" s="24">
        <v>1.53</v>
      </c>
    </row>
    <row r="380" spans="1:5">
      <c r="A380" s="21">
        <v>46282</v>
      </c>
      <c r="B380" t="s">
        <v>97</v>
      </c>
      <c r="C380" s="24">
        <v>261</v>
      </c>
      <c r="D380" s="24">
        <v>563</v>
      </c>
      <c r="E380" s="24">
        <v>1.82</v>
      </c>
    </row>
    <row r="381" spans="1:5">
      <c r="A381" s="21">
        <v>46282</v>
      </c>
      <c r="B381" t="s">
        <v>97</v>
      </c>
      <c r="C381" s="24">
        <v>250</v>
      </c>
      <c r="D381" s="24">
        <v>582</v>
      </c>
      <c r="E381" s="24">
        <v>1.56</v>
      </c>
    </row>
    <row r="382" spans="1:5">
      <c r="A382" s="21">
        <v>46282</v>
      </c>
      <c r="B382" t="s">
        <v>97</v>
      </c>
      <c r="C382" s="24">
        <v>274</v>
      </c>
      <c r="D382" s="24">
        <v>609</v>
      </c>
      <c r="E382" s="24">
        <v>1.88</v>
      </c>
    </row>
    <row r="383" spans="1:5">
      <c r="A383" s="21">
        <v>46282</v>
      </c>
      <c r="B383" t="s">
        <v>97</v>
      </c>
      <c r="C383" s="24">
        <v>286</v>
      </c>
      <c r="D383" s="24">
        <v>587</v>
      </c>
      <c r="E383" s="24">
        <v>1.55</v>
      </c>
    </row>
    <row r="384" spans="1:5">
      <c r="A384" s="21">
        <v>46282</v>
      </c>
      <c r="B384" t="s">
        <v>97</v>
      </c>
      <c r="C384" s="24">
        <v>278</v>
      </c>
      <c r="D384" s="24">
        <v>631</v>
      </c>
      <c r="E384" s="24">
        <v>1.44</v>
      </c>
    </row>
    <row r="385" spans="1:5">
      <c r="A385" s="21">
        <v>46282</v>
      </c>
      <c r="B385" t="s">
        <v>97</v>
      </c>
      <c r="C385" s="24">
        <v>302</v>
      </c>
      <c r="D385" s="24">
        <v>654</v>
      </c>
      <c r="E385" s="24">
        <v>1.66</v>
      </c>
    </row>
    <row r="386" spans="1:5">
      <c r="A386" s="21">
        <v>46282</v>
      </c>
      <c r="B386" t="s">
        <v>97</v>
      </c>
      <c r="C386" s="24">
        <v>295</v>
      </c>
      <c r="D386" s="24">
        <v>630</v>
      </c>
      <c r="E386" s="24">
        <v>1.51</v>
      </c>
    </row>
    <row r="387" spans="1:5">
      <c r="A387" s="21">
        <v>46282</v>
      </c>
      <c r="B387" t="s">
        <v>97</v>
      </c>
      <c r="C387" s="24">
        <v>318</v>
      </c>
      <c r="D387" s="24">
        <v>683</v>
      </c>
      <c r="E387" s="24">
        <v>1.62</v>
      </c>
    </row>
    <row r="388" spans="1:5">
      <c r="A388" s="21">
        <v>46282</v>
      </c>
      <c r="B388" t="s">
        <v>97</v>
      </c>
      <c r="C388" s="41">
        <v>331</v>
      </c>
      <c r="D388" s="41">
        <v>655</v>
      </c>
      <c r="E388" s="8">
        <v>1.87</v>
      </c>
    </row>
    <row r="389" spans="1:5">
      <c r="A389" s="21">
        <v>46282</v>
      </c>
      <c r="B389" t="s">
        <v>97</v>
      </c>
      <c r="C389" s="40">
        <v>320</v>
      </c>
      <c r="D389" s="40">
        <v>673</v>
      </c>
      <c r="E389" s="8">
        <v>1.78</v>
      </c>
    </row>
    <row r="390" spans="1:5">
      <c r="A390" s="21">
        <v>46282</v>
      </c>
      <c r="B390" t="s">
        <v>97</v>
      </c>
      <c r="C390" s="24">
        <v>344</v>
      </c>
      <c r="D390" s="24">
        <v>726</v>
      </c>
      <c r="E390" s="24">
        <v>1.66</v>
      </c>
    </row>
    <row r="391" spans="1:5">
      <c r="A391" s="21">
        <v>46282</v>
      </c>
      <c r="B391" t="s">
        <v>97</v>
      </c>
      <c r="C391" s="24">
        <v>356</v>
      </c>
      <c r="D391" s="24">
        <v>733</v>
      </c>
      <c r="E391" s="24">
        <v>1.78</v>
      </c>
    </row>
    <row r="392" spans="1:5" ht="16.5" thickBot="1">
      <c r="A392" s="21">
        <v>46283</v>
      </c>
      <c r="B392" t="s">
        <v>97</v>
      </c>
      <c r="C392" s="26">
        <v>348</v>
      </c>
      <c r="D392" s="26">
        <v>729</v>
      </c>
      <c r="E392" s="26">
        <v>1.9</v>
      </c>
    </row>
    <row r="393" spans="1:5" ht="16.5" thickBot="1">
      <c r="A393" s="21">
        <v>46283</v>
      </c>
      <c r="B393" t="s">
        <v>97</v>
      </c>
      <c r="C393" s="26">
        <v>372</v>
      </c>
      <c r="D393" s="26">
        <v>754</v>
      </c>
      <c r="E393" s="26">
        <v>1.74</v>
      </c>
    </row>
    <row r="394" spans="1:5" ht="16.5" thickBot="1">
      <c r="A394" s="21">
        <v>46283</v>
      </c>
      <c r="B394" t="s">
        <v>97</v>
      </c>
      <c r="C394" s="26">
        <v>365</v>
      </c>
      <c r="D394" s="26">
        <v>768</v>
      </c>
      <c r="E394" s="26">
        <v>2.06</v>
      </c>
    </row>
    <row r="395" spans="1:5" ht="16.5" thickBot="1">
      <c r="A395" s="21">
        <v>46283</v>
      </c>
      <c r="B395" t="s">
        <v>97</v>
      </c>
      <c r="C395" s="26">
        <v>388</v>
      </c>
      <c r="D395" s="26">
        <v>779</v>
      </c>
      <c r="E395" s="26">
        <v>1.94</v>
      </c>
    </row>
    <row r="396" spans="1:5" ht="16.5" thickBot="1">
      <c r="A396" s="21">
        <v>46283</v>
      </c>
      <c r="B396" t="s">
        <v>97</v>
      </c>
      <c r="C396" s="26">
        <v>401</v>
      </c>
      <c r="D396" s="26">
        <v>787</v>
      </c>
      <c r="E396" s="26">
        <v>1.95</v>
      </c>
    </row>
    <row r="397" spans="1:5" ht="16.5" thickBot="1">
      <c r="A397" s="21">
        <v>46283</v>
      </c>
      <c r="B397" t="s">
        <v>97</v>
      </c>
      <c r="C397" s="26">
        <v>390</v>
      </c>
      <c r="D397" s="26">
        <v>786</v>
      </c>
      <c r="E397" s="26">
        <v>2.1800000000000002</v>
      </c>
    </row>
    <row r="398" spans="1:5" ht="16.5" thickBot="1">
      <c r="A398" s="21">
        <v>46283</v>
      </c>
      <c r="B398" t="s">
        <v>97</v>
      </c>
      <c r="C398" s="26">
        <v>414</v>
      </c>
      <c r="D398" s="26">
        <v>808</v>
      </c>
      <c r="E398" s="26">
        <v>1.85</v>
      </c>
    </row>
    <row r="399" spans="1:5" ht="16.5" thickBot="1">
      <c r="A399" s="21">
        <v>46283</v>
      </c>
      <c r="B399" t="s">
        <v>97</v>
      </c>
      <c r="C399" s="26">
        <v>426</v>
      </c>
      <c r="D399" s="26">
        <v>852</v>
      </c>
      <c r="E399" s="26">
        <v>1.62</v>
      </c>
    </row>
    <row r="400" spans="1:5">
      <c r="A400" s="21">
        <v>46283</v>
      </c>
      <c r="B400" t="s">
        <v>97</v>
      </c>
      <c r="C400" s="8">
        <v>418</v>
      </c>
      <c r="D400" s="8">
        <v>867</v>
      </c>
      <c r="E400" s="8">
        <v>1.95</v>
      </c>
    </row>
    <row r="401" spans="1:5" ht="16.5" thickBot="1">
      <c r="A401" s="21">
        <v>46283</v>
      </c>
      <c r="B401" t="s">
        <v>97</v>
      </c>
      <c r="C401" s="26">
        <v>442</v>
      </c>
      <c r="D401" s="26">
        <v>883</v>
      </c>
      <c r="E401" s="26">
        <v>2.0499999999999998</v>
      </c>
    </row>
    <row r="402" spans="1:5" ht="16.5" thickBot="1">
      <c r="A402" s="21">
        <v>46283</v>
      </c>
      <c r="B402" t="s">
        <v>97</v>
      </c>
      <c r="C402" s="26">
        <v>435</v>
      </c>
      <c r="D402" s="26">
        <v>862</v>
      </c>
      <c r="E402" s="26">
        <v>2.5299999999999998</v>
      </c>
    </row>
    <row r="403" spans="1:5" ht="16.5" thickBot="1">
      <c r="A403" s="21">
        <v>46283</v>
      </c>
      <c r="B403" t="s">
        <v>97</v>
      </c>
      <c r="C403" s="26">
        <v>458</v>
      </c>
      <c r="D403" s="26">
        <v>905</v>
      </c>
      <c r="E403" s="26">
        <v>1.98</v>
      </c>
    </row>
    <row r="404" spans="1:5" ht="16.5" thickBot="1">
      <c r="A404" s="21">
        <v>46283</v>
      </c>
      <c r="B404" t="s">
        <v>97</v>
      </c>
      <c r="C404" s="26">
        <v>471</v>
      </c>
      <c r="D404" s="26">
        <v>911</v>
      </c>
      <c r="E404" s="26">
        <v>2.5099999999999998</v>
      </c>
    </row>
    <row r="405" spans="1:5" ht="16.5" thickBot="1">
      <c r="A405" s="21">
        <v>46283</v>
      </c>
      <c r="B405" t="s">
        <v>97</v>
      </c>
      <c r="C405" s="26">
        <v>460</v>
      </c>
      <c r="D405" s="26">
        <v>924</v>
      </c>
      <c r="E405" s="26">
        <v>2.2599999999999998</v>
      </c>
    </row>
    <row r="406" spans="1:5" ht="16.5" thickBot="1">
      <c r="A406" s="21">
        <v>46283</v>
      </c>
      <c r="B406" t="s">
        <v>97</v>
      </c>
      <c r="C406" s="26">
        <v>484</v>
      </c>
      <c r="D406" s="26">
        <v>937</v>
      </c>
      <c r="E406" s="26">
        <v>2.2200000000000002</v>
      </c>
    </row>
    <row r="407" spans="1:5" ht="16.5" thickBot="1">
      <c r="A407" s="21">
        <v>46283</v>
      </c>
      <c r="B407" t="s">
        <v>98</v>
      </c>
      <c r="C407" s="26">
        <v>498</v>
      </c>
      <c r="D407" s="26">
        <v>959</v>
      </c>
      <c r="E407" s="26">
        <v>0.88</v>
      </c>
    </row>
    <row r="408" spans="1:5" ht="16.5" thickBot="1">
      <c r="A408" s="21">
        <v>46283</v>
      </c>
      <c r="B408" t="s">
        <v>98</v>
      </c>
      <c r="C408" s="26">
        <v>110</v>
      </c>
      <c r="D408" s="26">
        <v>321</v>
      </c>
      <c r="E408" s="26">
        <v>0.74</v>
      </c>
    </row>
    <row r="409" spans="1:5" ht="16.5" thickBot="1">
      <c r="A409" s="21">
        <v>46283</v>
      </c>
      <c r="B409" t="s">
        <v>98</v>
      </c>
      <c r="C409" s="26">
        <v>126</v>
      </c>
      <c r="D409" s="26">
        <v>347</v>
      </c>
      <c r="E409" s="26">
        <v>0.61</v>
      </c>
    </row>
    <row r="410" spans="1:5" ht="16.5" thickBot="1">
      <c r="A410" s="21">
        <v>46283</v>
      </c>
      <c r="B410" t="s">
        <v>98</v>
      </c>
      <c r="C410" s="26">
        <v>119</v>
      </c>
      <c r="D410" s="26">
        <v>375</v>
      </c>
      <c r="E410" s="26">
        <v>0.5</v>
      </c>
    </row>
    <row r="411" spans="1:5" ht="16.5" thickBot="1">
      <c r="A411" s="21">
        <v>46283</v>
      </c>
      <c r="B411" t="s">
        <v>98</v>
      </c>
      <c r="C411" s="26">
        <v>142</v>
      </c>
      <c r="D411" s="26">
        <v>358</v>
      </c>
      <c r="E411" s="26">
        <v>0.81</v>
      </c>
    </row>
    <row r="412" spans="1:5" ht="16.5" thickBot="1">
      <c r="A412" s="21">
        <v>46283</v>
      </c>
      <c r="B412" t="s">
        <v>98</v>
      </c>
      <c r="C412" s="26">
        <v>154</v>
      </c>
      <c r="D412" s="26">
        <v>400</v>
      </c>
      <c r="E412" s="26">
        <v>0.8</v>
      </c>
    </row>
    <row r="413" spans="1:5" ht="16.5" thickBot="1">
      <c r="A413" s="21">
        <v>46283</v>
      </c>
      <c r="B413" t="s">
        <v>98</v>
      </c>
      <c r="C413" s="26">
        <v>146</v>
      </c>
      <c r="D413" s="26">
        <v>426</v>
      </c>
      <c r="E413" s="26">
        <v>0.63</v>
      </c>
    </row>
    <row r="414" spans="1:5">
      <c r="A414" s="21">
        <v>46283</v>
      </c>
      <c r="B414" t="s">
        <v>98</v>
      </c>
      <c r="C414" s="8">
        <v>169</v>
      </c>
      <c r="D414" s="8">
        <v>428</v>
      </c>
      <c r="E414" s="8">
        <v>1.4</v>
      </c>
    </row>
    <row r="415" spans="1:5">
      <c r="A415" s="21">
        <v>46283</v>
      </c>
      <c r="B415" t="s">
        <v>98</v>
      </c>
      <c r="C415" s="8">
        <v>161</v>
      </c>
      <c r="D415" s="8">
        <v>421</v>
      </c>
      <c r="E415" s="8">
        <v>1.02</v>
      </c>
    </row>
    <row r="416" spans="1:5">
      <c r="A416" s="21">
        <v>46283</v>
      </c>
      <c r="B416" t="s">
        <v>98</v>
      </c>
      <c r="C416" s="8">
        <v>184</v>
      </c>
      <c r="D416" s="8">
        <v>468</v>
      </c>
      <c r="E416" s="8">
        <v>0.84</v>
      </c>
    </row>
    <row r="417" spans="1:5" ht="16.5" thickBot="1">
      <c r="A417" s="21">
        <v>46283</v>
      </c>
      <c r="B417" t="s">
        <v>98</v>
      </c>
      <c r="C417" s="26">
        <v>197</v>
      </c>
      <c r="D417" s="26">
        <v>484</v>
      </c>
      <c r="E417" s="26">
        <v>0.85</v>
      </c>
    </row>
    <row r="418" spans="1:5" ht="16.5" thickBot="1">
      <c r="A418" s="21">
        <v>46284</v>
      </c>
      <c r="B418" t="s">
        <v>98</v>
      </c>
      <c r="C418" s="26">
        <v>186</v>
      </c>
      <c r="D418" s="26">
        <v>472</v>
      </c>
      <c r="E418" s="26">
        <v>0.99</v>
      </c>
    </row>
    <row r="419" spans="1:5" ht="16.5" thickBot="1">
      <c r="A419" s="21">
        <v>46284</v>
      </c>
      <c r="B419" t="s">
        <v>98</v>
      </c>
      <c r="C419" s="26">
        <v>210</v>
      </c>
      <c r="D419" s="26">
        <v>482</v>
      </c>
      <c r="E419" s="26">
        <v>1.1100000000000001</v>
      </c>
    </row>
    <row r="420" spans="1:5" ht="16.5" thickBot="1">
      <c r="A420" s="21">
        <v>46284</v>
      </c>
      <c r="B420" t="s">
        <v>98</v>
      </c>
      <c r="C420" s="26">
        <v>222</v>
      </c>
      <c r="D420" s="26">
        <v>494</v>
      </c>
      <c r="E420" s="26">
        <v>1.03</v>
      </c>
    </row>
    <row r="421" spans="1:5" ht="16.5" thickBot="1">
      <c r="A421" s="21">
        <v>46284</v>
      </c>
      <c r="B421" t="s">
        <v>98</v>
      </c>
      <c r="C421" s="26">
        <v>214</v>
      </c>
      <c r="D421" s="26">
        <v>538</v>
      </c>
      <c r="E421" s="26">
        <v>1.29</v>
      </c>
    </row>
    <row r="422" spans="1:5" ht="16.5" thickBot="1">
      <c r="A422" s="21">
        <v>46284</v>
      </c>
      <c r="B422" t="s">
        <v>98</v>
      </c>
      <c r="C422" s="26">
        <v>238</v>
      </c>
      <c r="D422" s="26">
        <v>529</v>
      </c>
      <c r="E422" s="26">
        <v>1.24</v>
      </c>
    </row>
    <row r="423" spans="1:5" ht="16.5" thickBot="1">
      <c r="A423" s="21">
        <v>46284</v>
      </c>
      <c r="B423" t="s">
        <v>98</v>
      </c>
      <c r="C423" s="26">
        <v>231</v>
      </c>
      <c r="D423" s="26">
        <v>544</v>
      </c>
      <c r="E423" s="26">
        <v>1.1399999999999999</v>
      </c>
    </row>
    <row r="424" spans="1:5" ht="16.5" thickBot="1">
      <c r="A424" s="21">
        <v>46284</v>
      </c>
      <c r="B424" t="s">
        <v>98</v>
      </c>
      <c r="C424" s="26">
        <v>254</v>
      </c>
      <c r="D424" s="26">
        <v>572</v>
      </c>
      <c r="E424" s="26">
        <v>1.17</v>
      </c>
    </row>
    <row r="425" spans="1:5">
      <c r="A425" s="21">
        <v>46284</v>
      </c>
      <c r="B425" t="s">
        <v>98</v>
      </c>
      <c r="C425" s="8">
        <v>267</v>
      </c>
      <c r="D425" s="8">
        <v>587</v>
      </c>
      <c r="E425" s="8">
        <v>1.3</v>
      </c>
    </row>
    <row r="426" spans="1:5">
      <c r="A426" s="21">
        <v>46284</v>
      </c>
      <c r="B426" t="s">
        <v>98</v>
      </c>
      <c r="C426" s="8">
        <v>256</v>
      </c>
      <c r="D426" s="8">
        <v>575</v>
      </c>
      <c r="E426" s="8">
        <v>0.94</v>
      </c>
    </row>
    <row r="427" spans="1:5" ht="16.5" thickBot="1">
      <c r="A427" s="21">
        <v>46284</v>
      </c>
      <c r="B427" t="s">
        <v>98</v>
      </c>
      <c r="C427" s="26">
        <v>280</v>
      </c>
      <c r="D427" s="26">
        <v>600</v>
      </c>
      <c r="E427" s="26">
        <v>1.1599999999999999</v>
      </c>
    </row>
    <row r="428" spans="1:5" ht="16.5" thickBot="1">
      <c r="A428" s="21">
        <v>46284</v>
      </c>
      <c r="B428" t="s">
        <v>98</v>
      </c>
      <c r="C428" s="26">
        <v>292</v>
      </c>
      <c r="D428" s="26">
        <v>632</v>
      </c>
      <c r="E428" s="26">
        <v>1.33</v>
      </c>
    </row>
    <row r="429" spans="1:5">
      <c r="A429" s="21">
        <v>46284</v>
      </c>
      <c r="B429" t="s">
        <v>98</v>
      </c>
      <c r="C429" s="25">
        <v>284</v>
      </c>
      <c r="D429" s="25">
        <v>628</v>
      </c>
      <c r="E429" s="25">
        <v>1.05</v>
      </c>
    </row>
    <row r="430" spans="1:5">
      <c r="A430" s="21">
        <v>46284</v>
      </c>
      <c r="B430" t="s">
        <v>98</v>
      </c>
      <c r="C430" s="25">
        <v>308</v>
      </c>
      <c r="D430" s="25">
        <v>638</v>
      </c>
      <c r="E430" s="25">
        <v>1.17</v>
      </c>
    </row>
    <row r="431" spans="1:5" ht="16.5" thickBot="1">
      <c r="A431" s="21">
        <v>46284</v>
      </c>
      <c r="B431" t="s">
        <v>98</v>
      </c>
      <c r="C431" s="26">
        <v>301</v>
      </c>
      <c r="D431" s="26">
        <v>644</v>
      </c>
      <c r="E431" s="26">
        <v>1.39</v>
      </c>
    </row>
    <row r="432" spans="1:5">
      <c r="A432" s="21">
        <v>46284</v>
      </c>
      <c r="B432" t="s">
        <v>98</v>
      </c>
      <c r="C432" s="8">
        <v>324</v>
      </c>
      <c r="D432" s="8">
        <v>700</v>
      </c>
      <c r="E432" s="8">
        <v>1.63</v>
      </c>
    </row>
    <row r="433" spans="1:5" ht="16.5" thickBot="1">
      <c r="A433" s="21">
        <v>46284</v>
      </c>
      <c r="B433" t="s">
        <v>98</v>
      </c>
      <c r="C433" s="26">
        <v>337</v>
      </c>
      <c r="D433" s="26">
        <v>677</v>
      </c>
      <c r="E433" s="26">
        <v>1.38</v>
      </c>
    </row>
    <row r="434" spans="1:5" ht="16.5" thickBot="1">
      <c r="A434" s="21">
        <v>46284</v>
      </c>
      <c r="B434" t="s">
        <v>98</v>
      </c>
      <c r="C434" s="26">
        <v>326</v>
      </c>
      <c r="D434" s="26">
        <v>692</v>
      </c>
      <c r="E434" s="26">
        <v>1.48</v>
      </c>
    </row>
    <row r="435" spans="1:5" ht="16.5" thickBot="1">
      <c r="A435" s="21">
        <v>46284</v>
      </c>
      <c r="B435" t="s">
        <v>98</v>
      </c>
      <c r="C435" s="26">
        <v>350</v>
      </c>
      <c r="D435" s="26">
        <v>718</v>
      </c>
      <c r="E435" s="26">
        <v>1.77</v>
      </c>
    </row>
    <row r="436" spans="1:5">
      <c r="A436" s="21">
        <v>46284</v>
      </c>
      <c r="B436" t="s">
        <v>98</v>
      </c>
      <c r="C436" s="25">
        <v>362</v>
      </c>
      <c r="D436" s="25">
        <v>736</v>
      </c>
      <c r="E436" s="25">
        <v>1.39</v>
      </c>
    </row>
    <row r="437" spans="1:5" ht="16.5" thickBot="1">
      <c r="A437" s="21">
        <v>46284</v>
      </c>
      <c r="B437" t="s">
        <v>98</v>
      </c>
      <c r="C437" s="26">
        <v>354</v>
      </c>
      <c r="D437" s="26">
        <v>745</v>
      </c>
      <c r="E437" s="26">
        <v>1.27</v>
      </c>
    </row>
    <row r="438" spans="1:5" ht="16.5" thickBot="1">
      <c r="A438" s="21">
        <v>46284</v>
      </c>
      <c r="B438" t="s">
        <v>98</v>
      </c>
      <c r="C438" s="26">
        <v>378</v>
      </c>
      <c r="D438" s="26">
        <v>756</v>
      </c>
      <c r="E438" s="26">
        <v>1.4</v>
      </c>
    </row>
    <row r="439" spans="1:5" ht="16.5" thickBot="1">
      <c r="A439" s="21">
        <v>46284</v>
      </c>
      <c r="B439" t="s">
        <v>98</v>
      </c>
      <c r="C439" s="26">
        <v>371</v>
      </c>
      <c r="D439" s="26">
        <v>767</v>
      </c>
      <c r="E439" s="26">
        <v>1.48</v>
      </c>
    </row>
    <row r="440" spans="1:5">
      <c r="A440" s="21">
        <v>46284</v>
      </c>
      <c r="B440" t="s">
        <v>98</v>
      </c>
      <c r="C440" s="8">
        <v>394</v>
      </c>
      <c r="D440" s="8">
        <v>790</v>
      </c>
      <c r="E440" s="8">
        <v>1.82</v>
      </c>
    </row>
    <row r="441" spans="1:5">
      <c r="A441" s="21">
        <v>46284</v>
      </c>
      <c r="B441" t="s">
        <v>98</v>
      </c>
      <c r="C441" s="8">
        <v>407</v>
      </c>
      <c r="D441" s="8">
        <v>797</v>
      </c>
      <c r="E441" s="8">
        <v>1.44</v>
      </c>
    </row>
    <row r="442" spans="1:5" ht="16.5" thickBot="1">
      <c r="A442" s="21">
        <v>46284</v>
      </c>
      <c r="B442" t="s">
        <v>98</v>
      </c>
      <c r="C442" s="26">
        <v>396</v>
      </c>
      <c r="D442" s="26">
        <v>813</v>
      </c>
      <c r="E442" s="26">
        <v>1.85</v>
      </c>
    </row>
    <row r="443" spans="1:5" ht="16.5" thickBot="1">
      <c r="A443" s="21">
        <v>46284</v>
      </c>
      <c r="B443" t="s">
        <v>98</v>
      </c>
      <c r="C443" s="26">
        <v>420</v>
      </c>
      <c r="D443" s="26">
        <v>839</v>
      </c>
      <c r="E443" s="26">
        <v>1.83</v>
      </c>
    </row>
    <row r="444" spans="1:5" ht="16.5" thickBot="1">
      <c r="A444" s="21">
        <v>46285</v>
      </c>
      <c r="B444" t="s">
        <v>98</v>
      </c>
      <c r="C444" s="26">
        <v>432</v>
      </c>
      <c r="D444" s="26">
        <v>869</v>
      </c>
      <c r="E444" s="8">
        <v>2.0299999999999998</v>
      </c>
    </row>
    <row r="445" spans="1:5" ht="16.5" thickBot="1">
      <c r="A445" s="21">
        <v>46285</v>
      </c>
      <c r="B445" t="s">
        <v>98</v>
      </c>
      <c r="C445" s="26">
        <v>424</v>
      </c>
      <c r="D445" s="26">
        <v>846</v>
      </c>
      <c r="E445" s="8">
        <v>2.02</v>
      </c>
    </row>
    <row r="446" spans="1:5" ht="16.5" thickBot="1">
      <c r="A446" s="21">
        <v>46285</v>
      </c>
      <c r="B446" t="s">
        <v>98</v>
      </c>
      <c r="C446" s="26">
        <v>448</v>
      </c>
      <c r="D446" s="26">
        <v>892</v>
      </c>
      <c r="E446" s="8">
        <v>1.84</v>
      </c>
    </row>
    <row r="447" spans="1:5" ht="16.5" thickBot="1">
      <c r="A447" s="21">
        <v>46285</v>
      </c>
      <c r="B447" t="s">
        <v>98</v>
      </c>
      <c r="C447" s="26">
        <v>441</v>
      </c>
      <c r="D447" s="26">
        <v>880</v>
      </c>
      <c r="E447" s="8">
        <v>1.61</v>
      </c>
    </row>
    <row r="448" spans="1:5" ht="16.5" thickBot="1">
      <c r="A448" s="21">
        <v>46285</v>
      </c>
      <c r="B448" t="s">
        <v>98</v>
      </c>
      <c r="C448" s="26">
        <v>464</v>
      </c>
      <c r="D448" s="26">
        <v>895</v>
      </c>
      <c r="E448" s="8">
        <v>1.62</v>
      </c>
    </row>
    <row r="449" spans="1:5" ht="16.5" thickBot="1">
      <c r="A449" s="21">
        <v>46285</v>
      </c>
      <c r="B449" t="s">
        <v>98</v>
      </c>
      <c r="C449" s="26">
        <v>477</v>
      </c>
      <c r="D449" s="26">
        <v>908</v>
      </c>
      <c r="E449" s="25">
        <v>1.94</v>
      </c>
    </row>
    <row r="450" spans="1:5" ht="16.5" thickBot="1">
      <c r="A450" s="21">
        <v>46285</v>
      </c>
      <c r="B450" t="s">
        <v>98</v>
      </c>
      <c r="C450" s="26">
        <v>466</v>
      </c>
      <c r="D450" s="26">
        <v>954</v>
      </c>
      <c r="E450" s="25">
        <v>1.79</v>
      </c>
    </row>
    <row r="451" spans="1:5" ht="16.5" thickBot="1">
      <c r="A451" s="21">
        <v>46285</v>
      </c>
      <c r="B451" t="s">
        <v>98</v>
      </c>
      <c r="C451" s="26">
        <v>490</v>
      </c>
      <c r="D451" s="26">
        <v>940</v>
      </c>
      <c r="E451" s="8">
        <v>1.97</v>
      </c>
    </row>
    <row r="452" spans="1:5">
      <c r="A452" s="21">
        <v>46285</v>
      </c>
      <c r="B452" t="s">
        <v>99</v>
      </c>
      <c r="C452" s="8">
        <v>496</v>
      </c>
      <c r="D452" s="8">
        <v>970</v>
      </c>
      <c r="E452" s="8">
        <v>0.7</v>
      </c>
    </row>
    <row r="453" spans="1:5" ht="16.5" thickBot="1">
      <c r="A453" s="21">
        <v>46285</v>
      </c>
      <c r="B453" t="s">
        <v>99</v>
      </c>
      <c r="C453" s="26">
        <v>101</v>
      </c>
      <c r="D453" s="26">
        <v>367</v>
      </c>
      <c r="E453" s="8">
        <v>1.26</v>
      </c>
    </row>
    <row r="454" spans="1:5" ht="16.5" thickBot="1">
      <c r="A454" s="21">
        <v>46285</v>
      </c>
      <c r="B454" t="s">
        <v>99</v>
      </c>
      <c r="C454" s="26">
        <v>118</v>
      </c>
      <c r="D454" s="26">
        <v>350</v>
      </c>
      <c r="E454" s="8">
        <v>1.18</v>
      </c>
    </row>
    <row r="455" spans="1:5" ht="16.5" thickBot="1">
      <c r="A455" s="21">
        <v>46285</v>
      </c>
      <c r="B455" t="s">
        <v>99</v>
      </c>
      <c r="C455" s="26">
        <v>111</v>
      </c>
      <c r="D455" s="26">
        <v>360</v>
      </c>
      <c r="E455" s="25">
        <v>0.79</v>
      </c>
    </row>
    <row r="456" spans="1:5" ht="16.5" thickBot="1">
      <c r="A456" s="21">
        <v>46285</v>
      </c>
      <c r="B456" t="s">
        <v>99</v>
      </c>
      <c r="C456" s="26">
        <v>134</v>
      </c>
      <c r="D456" s="26">
        <v>382</v>
      </c>
      <c r="E456" s="25">
        <v>1.08</v>
      </c>
    </row>
    <row r="457" spans="1:5" ht="16.5" thickBot="1">
      <c r="A457" s="21">
        <v>46285</v>
      </c>
      <c r="B457" t="s">
        <v>99</v>
      </c>
      <c r="C457" s="26">
        <v>146</v>
      </c>
      <c r="D457" s="26">
        <v>401</v>
      </c>
      <c r="E457" s="8">
        <v>1</v>
      </c>
    </row>
    <row r="458" spans="1:5" ht="16.5" thickBot="1">
      <c r="A458" s="21">
        <v>46285</v>
      </c>
      <c r="B458" t="s">
        <v>99</v>
      </c>
      <c r="C458" s="26">
        <v>138</v>
      </c>
      <c r="D458" s="26">
        <v>422</v>
      </c>
      <c r="E458" s="8">
        <v>0.94</v>
      </c>
    </row>
    <row r="459" spans="1:5" ht="16.5" thickBot="1">
      <c r="A459" s="21">
        <v>46285</v>
      </c>
      <c r="B459" t="s">
        <v>99</v>
      </c>
      <c r="C459" s="26">
        <v>161</v>
      </c>
      <c r="D459" s="26">
        <v>428</v>
      </c>
      <c r="E459" s="8">
        <v>1.01</v>
      </c>
    </row>
    <row r="460" spans="1:5" ht="16.5" thickBot="1">
      <c r="A460" s="21">
        <v>46285</v>
      </c>
      <c r="B460" t="s">
        <v>99</v>
      </c>
      <c r="C460" s="26">
        <v>153</v>
      </c>
      <c r="D460" s="26">
        <v>432</v>
      </c>
      <c r="E460" s="8">
        <v>0.96</v>
      </c>
    </row>
    <row r="461" spans="1:5" ht="16.5" thickBot="1">
      <c r="A461" s="21">
        <v>46285</v>
      </c>
      <c r="B461" t="s">
        <v>99</v>
      </c>
      <c r="C461" s="26">
        <v>176</v>
      </c>
      <c r="D461" s="26">
        <v>452</v>
      </c>
      <c r="E461" s="8">
        <v>1.1000000000000001</v>
      </c>
    </row>
    <row r="462" spans="1:5" ht="16.5" thickBot="1">
      <c r="A462" s="21">
        <v>46285</v>
      </c>
      <c r="B462" t="s">
        <v>99</v>
      </c>
      <c r="C462" s="26">
        <v>189</v>
      </c>
      <c r="D462" s="26">
        <v>476</v>
      </c>
      <c r="E462" s="25">
        <v>1.05</v>
      </c>
    </row>
    <row r="463" spans="1:5" ht="16.5" thickBot="1">
      <c r="A463" s="21">
        <v>46285</v>
      </c>
      <c r="B463" t="s">
        <v>99</v>
      </c>
      <c r="C463" s="26">
        <v>178</v>
      </c>
      <c r="D463" s="26">
        <v>477</v>
      </c>
      <c r="E463" s="8">
        <v>1.17</v>
      </c>
    </row>
    <row r="464" spans="1:5" ht="16.5" thickBot="1">
      <c r="A464" s="21">
        <v>46285</v>
      </c>
      <c r="B464" t="s">
        <v>99</v>
      </c>
      <c r="C464" s="26">
        <v>202</v>
      </c>
      <c r="D464" s="26">
        <v>496</v>
      </c>
      <c r="E464" s="8">
        <v>1.1599999999999999</v>
      </c>
    </row>
    <row r="465" spans="1:5" ht="16.5" thickBot="1">
      <c r="A465" s="21">
        <v>46285</v>
      </c>
      <c r="B465" t="s">
        <v>99</v>
      </c>
      <c r="C465" s="26">
        <v>214</v>
      </c>
      <c r="D465" s="26">
        <v>505</v>
      </c>
      <c r="E465" s="8">
        <v>0.9</v>
      </c>
    </row>
    <row r="466" spans="1:5" ht="16.5" thickBot="1">
      <c r="A466" s="21">
        <v>46285</v>
      </c>
      <c r="B466" t="s">
        <v>99</v>
      </c>
      <c r="C466" s="26">
        <v>206</v>
      </c>
      <c r="D466" s="26">
        <v>526</v>
      </c>
      <c r="E466" s="8">
        <v>1.47</v>
      </c>
    </row>
    <row r="467" spans="1:5">
      <c r="A467" s="21">
        <v>46285</v>
      </c>
      <c r="B467" t="s">
        <v>99</v>
      </c>
      <c r="C467" s="8">
        <v>230</v>
      </c>
      <c r="D467" s="8">
        <v>559</v>
      </c>
      <c r="E467" s="8">
        <v>1.39</v>
      </c>
    </row>
    <row r="468" spans="1:5" ht="16.5" thickBot="1">
      <c r="A468" s="21">
        <v>46285</v>
      </c>
      <c r="B468" t="s">
        <v>99</v>
      </c>
      <c r="C468" s="26">
        <v>223</v>
      </c>
      <c r="D468" s="26">
        <v>560</v>
      </c>
      <c r="E468" s="8">
        <v>1.48</v>
      </c>
    </row>
    <row r="469" spans="1:5" ht="16.5" thickBot="1">
      <c r="A469" s="21">
        <v>46285</v>
      </c>
      <c r="B469" t="s">
        <v>99</v>
      </c>
      <c r="C469" s="26">
        <v>246</v>
      </c>
      <c r="D469" s="26">
        <v>593</v>
      </c>
      <c r="E469" s="8">
        <v>1.58</v>
      </c>
    </row>
    <row r="470" spans="1:5" ht="16.5" thickBot="1">
      <c r="A470" s="21">
        <v>46286</v>
      </c>
      <c r="B470" t="s">
        <v>99</v>
      </c>
      <c r="C470" s="26">
        <v>259</v>
      </c>
      <c r="D470" s="26">
        <v>587</v>
      </c>
      <c r="E470" s="8">
        <v>1.49</v>
      </c>
    </row>
    <row r="471" spans="1:5" ht="16.5" thickBot="1">
      <c r="A471" s="21">
        <v>46286</v>
      </c>
      <c r="B471" t="s">
        <v>99</v>
      </c>
      <c r="C471" s="26">
        <v>248</v>
      </c>
      <c r="D471" s="26">
        <v>604</v>
      </c>
      <c r="E471" s="8">
        <v>1.27</v>
      </c>
    </row>
    <row r="472" spans="1:5" ht="16.5" thickBot="1">
      <c r="A472" s="21">
        <v>46286</v>
      </c>
      <c r="B472" t="s">
        <v>99</v>
      </c>
      <c r="C472" s="26">
        <v>272</v>
      </c>
      <c r="D472" s="26">
        <v>633</v>
      </c>
      <c r="E472" s="8">
        <v>1.31</v>
      </c>
    </row>
    <row r="473" spans="1:5" ht="16.5" thickBot="1">
      <c r="A473" s="21">
        <v>46286</v>
      </c>
      <c r="B473" t="s">
        <v>99</v>
      </c>
      <c r="C473" s="26">
        <v>284</v>
      </c>
      <c r="D473" s="26">
        <v>630</v>
      </c>
      <c r="E473" s="8">
        <v>1.43</v>
      </c>
    </row>
    <row r="474" spans="1:5" ht="16.5" thickBot="1">
      <c r="A474" s="21">
        <v>46286</v>
      </c>
      <c r="B474" t="s">
        <v>99</v>
      </c>
      <c r="C474" s="26">
        <v>276</v>
      </c>
      <c r="D474" s="26">
        <v>650</v>
      </c>
      <c r="E474" s="8">
        <v>1.27</v>
      </c>
    </row>
    <row r="475" spans="1:5" ht="16.5" thickBot="1">
      <c r="A475" s="21">
        <v>46286</v>
      </c>
      <c r="B475" t="s">
        <v>99</v>
      </c>
      <c r="C475" s="26">
        <v>300</v>
      </c>
      <c r="D475" s="26">
        <v>652</v>
      </c>
      <c r="E475" s="25">
        <v>1.49</v>
      </c>
    </row>
    <row r="476" spans="1:5" ht="16.5" thickBot="1">
      <c r="A476" s="21">
        <v>46286</v>
      </c>
      <c r="B476" t="s">
        <v>99</v>
      </c>
      <c r="C476" s="26">
        <v>293</v>
      </c>
      <c r="D476" s="26">
        <v>683</v>
      </c>
      <c r="E476" s="25">
        <v>1.73</v>
      </c>
    </row>
    <row r="477" spans="1:5" ht="16.5" thickBot="1">
      <c r="A477" s="21">
        <v>46286</v>
      </c>
      <c r="B477" t="s">
        <v>99</v>
      </c>
      <c r="C477" s="26">
        <v>316</v>
      </c>
      <c r="D477" s="26">
        <v>708</v>
      </c>
      <c r="E477" s="25">
        <v>1.38</v>
      </c>
    </row>
    <row r="478" spans="1:5">
      <c r="A478" s="21">
        <v>46286</v>
      </c>
      <c r="B478" t="s">
        <v>99</v>
      </c>
      <c r="C478" s="8">
        <v>329</v>
      </c>
      <c r="D478" s="8">
        <v>716</v>
      </c>
      <c r="E478" s="8">
        <v>1.58</v>
      </c>
    </row>
    <row r="479" spans="1:5" ht="16.5" thickBot="1">
      <c r="A479" s="21">
        <v>46286</v>
      </c>
      <c r="B479" t="s">
        <v>99</v>
      </c>
      <c r="C479" s="26">
        <v>318</v>
      </c>
      <c r="D479" s="26">
        <v>736</v>
      </c>
      <c r="E479" s="8">
        <v>1.71</v>
      </c>
    </row>
    <row r="480" spans="1:5" ht="16.5" thickBot="1">
      <c r="A480" s="21">
        <v>46286</v>
      </c>
      <c r="B480" t="s">
        <v>99</v>
      </c>
      <c r="C480" s="26">
        <v>342</v>
      </c>
      <c r="D480" s="26">
        <v>741</v>
      </c>
      <c r="E480" s="8">
        <v>1.58</v>
      </c>
    </row>
    <row r="481" spans="1:5" ht="16.5" thickBot="1">
      <c r="A481" s="21">
        <v>46286</v>
      </c>
      <c r="B481" t="s">
        <v>99</v>
      </c>
      <c r="C481" s="26">
        <v>354</v>
      </c>
      <c r="D481" s="26">
        <v>762</v>
      </c>
      <c r="E481" s="25">
        <v>1.74</v>
      </c>
    </row>
    <row r="482" spans="1:5" ht="16.5" thickBot="1">
      <c r="A482" s="21">
        <v>46286</v>
      </c>
      <c r="B482" t="s">
        <v>99</v>
      </c>
      <c r="C482" s="26">
        <v>346</v>
      </c>
      <c r="D482" s="26">
        <v>778</v>
      </c>
      <c r="E482" s="25">
        <v>1.53</v>
      </c>
    </row>
    <row r="483" spans="1:5" ht="16.5" thickBot="1">
      <c r="A483" s="21">
        <v>46286</v>
      </c>
      <c r="B483" t="s">
        <v>99</v>
      </c>
      <c r="C483" s="26">
        <v>370</v>
      </c>
      <c r="D483" s="26">
        <v>785</v>
      </c>
      <c r="E483" s="8">
        <v>1.66</v>
      </c>
    </row>
    <row r="484" spans="1:5" ht="16.5" thickBot="1">
      <c r="A484" s="21">
        <v>46286</v>
      </c>
      <c r="B484" t="s">
        <v>99</v>
      </c>
      <c r="C484" s="26">
        <v>363</v>
      </c>
      <c r="D484" s="26">
        <v>802</v>
      </c>
      <c r="E484" s="8">
        <v>1.65</v>
      </c>
    </row>
    <row r="485" spans="1:5" ht="16.5" thickBot="1">
      <c r="A485" s="21">
        <v>46286</v>
      </c>
      <c r="B485" t="s">
        <v>99</v>
      </c>
      <c r="C485" s="26">
        <v>386</v>
      </c>
      <c r="D485" s="26">
        <v>831</v>
      </c>
      <c r="E485" s="8">
        <v>1.56</v>
      </c>
    </row>
    <row r="486" spans="1:5" ht="16.5" thickBot="1">
      <c r="A486" s="21">
        <v>46286</v>
      </c>
      <c r="B486" t="s">
        <v>99</v>
      </c>
      <c r="C486" s="26">
        <v>399</v>
      </c>
      <c r="D486" s="26">
        <v>826</v>
      </c>
      <c r="E486" s="8">
        <v>1.73</v>
      </c>
    </row>
    <row r="487" spans="1:5" ht="16.5" thickBot="1">
      <c r="A487" s="21">
        <v>46286</v>
      </c>
      <c r="B487" t="s">
        <v>99</v>
      </c>
      <c r="C487" s="26">
        <v>388</v>
      </c>
      <c r="D487" s="26">
        <v>830</v>
      </c>
      <c r="E487" s="8">
        <v>1.67</v>
      </c>
    </row>
    <row r="488" spans="1:5" ht="16.5" thickBot="1">
      <c r="A488" s="21">
        <v>46286</v>
      </c>
      <c r="B488" t="s">
        <v>99</v>
      </c>
      <c r="C488" s="26">
        <v>412</v>
      </c>
      <c r="D488" s="26">
        <v>842</v>
      </c>
      <c r="E488" s="25">
        <v>1.71</v>
      </c>
    </row>
    <row r="489" spans="1:5" ht="16.5" thickBot="1">
      <c r="A489" s="21">
        <v>46286</v>
      </c>
      <c r="B489" t="s">
        <v>99</v>
      </c>
      <c r="C489" s="26">
        <v>424</v>
      </c>
      <c r="D489" s="26">
        <v>851</v>
      </c>
      <c r="E489" s="8">
        <v>1.87</v>
      </c>
    </row>
    <row r="490" spans="1:5" ht="16.5" thickBot="1">
      <c r="A490" s="21">
        <v>46286</v>
      </c>
      <c r="B490" t="s">
        <v>99</v>
      </c>
      <c r="C490" s="26">
        <v>416</v>
      </c>
      <c r="D490" s="26">
        <v>893</v>
      </c>
      <c r="E490" s="8">
        <v>1.85</v>
      </c>
    </row>
    <row r="491" spans="1:5" ht="16.5" thickBot="1">
      <c r="A491" s="21">
        <v>46286</v>
      </c>
      <c r="B491" t="s">
        <v>99</v>
      </c>
      <c r="C491" s="26">
        <v>440</v>
      </c>
      <c r="D491" s="26">
        <v>889</v>
      </c>
      <c r="E491" s="8">
        <v>1.71</v>
      </c>
    </row>
    <row r="492" spans="1:5" ht="16.5" thickBot="1">
      <c r="A492" s="21">
        <v>46286</v>
      </c>
      <c r="B492" t="s">
        <v>99</v>
      </c>
      <c r="C492" s="26">
        <v>433</v>
      </c>
      <c r="D492" s="26">
        <v>912</v>
      </c>
      <c r="E492" s="8">
        <v>2.13</v>
      </c>
    </row>
    <row r="493" spans="1:5">
      <c r="A493" s="21">
        <v>46286</v>
      </c>
      <c r="B493" t="s">
        <v>99</v>
      </c>
      <c r="C493" s="8">
        <v>456</v>
      </c>
      <c r="D493" s="8">
        <v>936</v>
      </c>
      <c r="E493" s="8">
        <v>1.7</v>
      </c>
    </row>
    <row r="494" spans="1:5" ht="16.5" thickBot="1">
      <c r="A494" s="21">
        <v>46286</v>
      </c>
      <c r="B494" t="s">
        <v>99</v>
      </c>
      <c r="C494" s="26">
        <v>469</v>
      </c>
      <c r="D494" s="26">
        <v>953</v>
      </c>
      <c r="E494" s="8">
        <v>1.97</v>
      </c>
    </row>
    <row r="495" spans="1:5" ht="16.5" thickBot="1">
      <c r="A495" s="21">
        <v>46286</v>
      </c>
      <c r="B495" t="s">
        <v>99</v>
      </c>
      <c r="C495" s="26">
        <v>458</v>
      </c>
      <c r="D495" s="26">
        <v>967</v>
      </c>
      <c r="E495" s="8">
        <v>1.94</v>
      </c>
    </row>
    <row r="496" spans="1:5">
      <c r="A496" s="21">
        <v>46287</v>
      </c>
      <c r="B496" t="s">
        <v>99</v>
      </c>
      <c r="C496" s="8">
        <v>482</v>
      </c>
      <c r="D496" s="8">
        <v>961</v>
      </c>
      <c r="E496" s="8">
        <v>2.0099999999999998</v>
      </c>
    </row>
    <row r="497" spans="1:5">
      <c r="A497" s="21">
        <v>46287</v>
      </c>
      <c r="B497" t="s">
        <v>82</v>
      </c>
      <c r="C497" s="8">
        <v>497</v>
      </c>
      <c r="D497" s="8">
        <v>997</v>
      </c>
      <c r="E497" s="8">
        <v>1.1499999999999999</v>
      </c>
    </row>
    <row r="498" spans="1:5" ht="16.5" thickBot="1">
      <c r="A498" s="21">
        <v>46287</v>
      </c>
      <c r="B498" t="s">
        <v>82</v>
      </c>
      <c r="C498" s="26">
        <v>113</v>
      </c>
      <c r="D498" s="26">
        <v>302</v>
      </c>
      <c r="E498" s="26">
        <v>0.91</v>
      </c>
    </row>
    <row r="499" spans="1:5" ht="16.5" thickBot="1">
      <c r="A499" s="21">
        <v>46287</v>
      </c>
      <c r="B499" t="s">
        <v>82</v>
      </c>
      <c r="C499" s="26">
        <v>129</v>
      </c>
      <c r="D499" s="26">
        <v>310</v>
      </c>
      <c r="E499" s="26">
        <v>1.1399999999999999</v>
      </c>
    </row>
    <row r="500" spans="1:5" ht="16.5" thickBot="1">
      <c r="A500" s="21">
        <v>46287</v>
      </c>
      <c r="B500" t="s">
        <v>82</v>
      </c>
      <c r="C500" s="26">
        <v>122</v>
      </c>
      <c r="D500" s="26">
        <v>314</v>
      </c>
      <c r="E500" s="26">
        <v>1.24</v>
      </c>
    </row>
    <row r="501" spans="1:5" ht="16.5" thickBot="1">
      <c r="A501" s="21">
        <v>46287</v>
      </c>
      <c r="B501" t="s">
        <v>82</v>
      </c>
      <c r="C501" s="26">
        <v>145</v>
      </c>
      <c r="D501" s="26">
        <v>345</v>
      </c>
      <c r="E501" s="26">
        <v>0.83</v>
      </c>
    </row>
    <row r="502" spans="1:5" ht="16.5" thickBot="1">
      <c r="A502" s="21">
        <v>46287</v>
      </c>
      <c r="B502" t="s">
        <v>82</v>
      </c>
      <c r="C502" s="26">
        <v>157</v>
      </c>
      <c r="D502" s="26">
        <v>342</v>
      </c>
      <c r="E502" s="26">
        <v>1.02</v>
      </c>
    </row>
    <row r="503" spans="1:5" ht="16.5" thickBot="1">
      <c r="A503" s="21">
        <v>46287</v>
      </c>
      <c r="B503" t="s">
        <v>82</v>
      </c>
      <c r="C503" s="26">
        <v>149</v>
      </c>
      <c r="D503" s="26">
        <v>358</v>
      </c>
      <c r="E503" s="26">
        <v>0.72</v>
      </c>
    </row>
    <row r="504" spans="1:5">
      <c r="A504" s="21">
        <v>46287</v>
      </c>
      <c r="B504" t="s">
        <v>82</v>
      </c>
      <c r="C504" s="8">
        <v>172</v>
      </c>
      <c r="D504" s="8">
        <v>398</v>
      </c>
      <c r="E504" s="8">
        <v>0.94</v>
      </c>
    </row>
    <row r="505" spans="1:5" ht="16.5" thickBot="1">
      <c r="A505" s="21">
        <v>46287</v>
      </c>
      <c r="B505" t="s">
        <v>82</v>
      </c>
      <c r="C505" s="26">
        <v>164</v>
      </c>
      <c r="D505" s="26">
        <v>396</v>
      </c>
      <c r="E505" s="26">
        <v>1.02</v>
      </c>
    </row>
    <row r="506" spans="1:5" ht="16.5" thickBot="1">
      <c r="A506" s="21">
        <v>46287</v>
      </c>
      <c r="B506" t="s">
        <v>82</v>
      </c>
      <c r="C506" s="26">
        <v>187</v>
      </c>
      <c r="D506" s="26">
        <v>410</v>
      </c>
      <c r="E506" s="26">
        <v>1.1299999999999999</v>
      </c>
    </row>
    <row r="507" spans="1:5" ht="16.5" thickBot="1">
      <c r="A507" s="21">
        <v>46287</v>
      </c>
      <c r="B507" t="s">
        <v>82</v>
      </c>
      <c r="C507" s="26">
        <v>200</v>
      </c>
      <c r="D507" s="26">
        <v>421</v>
      </c>
      <c r="E507" s="26">
        <v>1.34</v>
      </c>
    </row>
    <row r="508" spans="1:5" ht="16.5" thickBot="1">
      <c r="A508" s="21">
        <v>46287</v>
      </c>
      <c r="B508" t="s">
        <v>82</v>
      </c>
      <c r="C508" s="26">
        <v>189</v>
      </c>
      <c r="D508" s="26">
        <v>434</v>
      </c>
      <c r="E508" s="26">
        <v>1.26</v>
      </c>
    </row>
    <row r="509" spans="1:5" ht="16.5" thickBot="1">
      <c r="A509" s="21">
        <v>46287</v>
      </c>
      <c r="B509" t="s">
        <v>82</v>
      </c>
      <c r="C509" s="26">
        <v>213</v>
      </c>
      <c r="D509" s="26">
        <v>454</v>
      </c>
      <c r="E509" s="26">
        <v>1</v>
      </c>
    </row>
    <row r="510" spans="1:5" ht="16.5" thickBot="1">
      <c r="A510" s="21">
        <v>46287</v>
      </c>
      <c r="B510" t="s">
        <v>82</v>
      </c>
      <c r="C510" s="26">
        <v>225</v>
      </c>
      <c r="D510" s="26">
        <v>459</v>
      </c>
      <c r="E510" s="26">
        <v>1.37</v>
      </c>
    </row>
    <row r="511" spans="1:5" ht="16.5" thickBot="1">
      <c r="A511" s="21">
        <v>46287</v>
      </c>
      <c r="B511" t="s">
        <v>82</v>
      </c>
      <c r="C511" s="26">
        <v>217</v>
      </c>
      <c r="D511" s="26">
        <v>460</v>
      </c>
      <c r="E511" s="26">
        <v>1.28</v>
      </c>
    </row>
    <row r="512" spans="1:5" ht="16.5" thickBot="1">
      <c r="A512" s="21">
        <v>46287</v>
      </c>
      <c r="B512" t="s">
        <v>82</v>
      </c>
      <c r="C512" s="26">
        <v>241</v>
      </c>
      <c r="D512" s="26">
        <v>506</v>
      </c>
      <c r="E512" s="26">
        <v>1.24</v>
      </c>
    </row>
    <row r="513" spans="1:5">
      <c r="A513" s="21">
        <v>46287</v>
      </c>
      <c r="B513" t="s">
        <v>82</v>
      </c>
      <c r="C513" s="27">
        <v>234</v>
      </c>
      <c r="D513" s="28">
        <v>528</v>
      </c>
      <c r="E513" s="29">
        <v>1.3</v>
      </c>
    </row>
    <row r="514" spans="1:5" ht="16.5" thickBot="1">
      <c r="A514" s="21">
        <v>46287</v>
      </c>
      <c r="B514" t="s">
        <v>82</v>
      </c>
      <c r="C514" s="26">
        <v>257</v>
      </c>
      <c r="D514" s="26">
        <v>540</v>
      </c>
      <c r="E514" s="30">
        <v>0.83</v>
      </c>
    </row>
    <row r="515" spans="1:5" ht="16.5" thickBot="1">
      <c r="A515" s="21">
        <v>46287</v>
      </c>
      <c r="B515" t="s">
        <v>82</v>
      </c>
      <c r="C515" s="26">
        <v>270</v>
      </c>
      <c r="D515" s="26">
        <v>548</v>
      </c>
      <c r="E515" s="26">
        <v>1.42</v>
      </c>
    </row>
    <row r="516" spans="1:5">
      <c r="A516" s="21">
        <v>46287</v>
      </c>
      <c r="B516" t="s">
        <v>82</v>
      </c>
      <c r="C516" s="27">
        <v>259</v>
      </c>
      <c r="D516" s="29">
        <v>558</v>
      </c>
      <c r="E516" s="29">
        <v>1.46</v>
      </c>
    </row>
    <row r="517" spans="1:5" ht="16.5" thickBot="1">
      <c r="A517" s="21">
        <v>46287</v>
      </c>
      <c r="B517" t="s">
        <v>82</v>
      </c>
      <c r="C517" s="26">
        <v>283</v>
      </c>
      <c r="D517" s="26">
        <v>584</v>
      </c>
      <c r="E517" s="26">
        <v>1.69</v>
      </c>
    </row>
    <row r="518" spans="1:5">
      <c r="A518" s="21">
        <v>46287</v>
      </c>
      <c r="B518" t="s">
        <v>82</v>
      </c>
      <c r="C518" s="8">
        <v>295</v>
      </c>
      <c r="D518" s="8">
        <v>593</v>
      </c>
      <c r="E518" s="8">
        <v>1.41</v>
      </c>
    </row>
    <row r="519" spans="1:5">
      <c r="A519" s="21">
        <v>46287</v>
      </c>
      <c r="B519" t="s">
        <v>82</v>
      </c>
      <c r="C519" s="8">
        <v>287</v>
      </c>
      <c r="D519" s="8">
        <v>597</v>
      </c>
      <c r="E519" s="8">
        <v>1.34</v>
      </c>
    </row>
    <row r="520" spans="1:5" ht="16.5" thickBot="1">
      <c r="A520" s="21">
        <v>46287</v>
      </c>
      <c r="B520" t="s">
        <v>82</v>
      </c>
      <c r="C520" s="26">
        <v>311</v>
      </c>
      <c r="D520" s="26">
        <v>588</v>
      </c>
      <c r="E520" s="26">
        <v>1.21</v>
      </c>
    </row>
    <row r="521" spans="1:5" ht="16.5" thickBot="1">
      <c r="A521" s="21">
        <v>46287</v>
      </c>
      <c r="B521" t="s">
        <v>82</v>
      </c>
      <c r="C521" s="26">
        <v>304</v>
      </c>
      <c r="D521" s="26">
        <v>635</v>
      </c>
      <c r="E521" s="26">
        <v>1.4</v>
      </c>
    </row>
    <row r="522" spans="1:5" ht="16.5" thickBot="1">
      <c r="A522" s="21">
        <v>46288</v>
      </c>
      <c r="B522" t="s">
        <v>82</v>
      </c>
      <c r="C522" s="26">
        <v>327</v>
      </c>
      <c r="D522" s="26">
        <v>655</v>
      </c>
      <c r="E522" s="26">
        <v>1.37</v>
      </c>
    </row>
    <row r="523" spans="1:5" ht="16.5" thickBot="1">
      <c r="A523" s="21">
        <v>46288</v>
      </c>
      <c r="B523" t="s">
        <v>82</v>
      </c>
      <c r="C523" s="26">
        <v>340</v>
      </c>
      <c r="D523" s="26">
        <v>657</v>
      </c>
      <c r="E523" s="26">
        <v>1.51</v>
      </c>
    </row>
    <row r="524" spans="1:5" ht="16.5" thickBot="1">
      <c r="A524" s="21">
        <v>46288</v>
      </c>
      <c r="B524" t="s">
        <v>82</v>
      </c>
      <c r="C524" s="26">
        <v>329</v>
      </c>
      <c r="D524" s="26">
        <v>667</v>
      </c>
      <c r="E524" s="26">
        <v>1.45</v>
      </c>
    </row>
    <row r="525" spans="1:5" ht="16.5" thickBot="1">
      <c r="A525" s="21">
        <v>46288</v>
      </c>
      <c r="B525" t="s">
        <v>82</v>
      </c>
      <c r="C525" s="26">
        <v>353</v>
      </c>
      <c r="D525" s="26">
        <v>666</v>
      </c>
      <c r="E525" s="26">
        <v>1.65</v>
      </c>
    </row>
    <row r="526" spans="1:5">
      <c r="A526" s="21">
        <v>46288</v>
      </c>
      <c r="B526" t="s">
        <v>82</v>
      </c>
      <c r="C526" s="27">
        <v>365</v>
      </c>
      <c r="D526" s="29">
        <v>672</v>
      </c>
      <c r="E526" s="29">
        <v>1.73</v>
      </c>
    </row>
    <row r="527" spans="1:5" ht="16.5" thickBot="1">
      <c r="A527" s="21">
        <v>46288</v>
      </c>
      <c r="B527" t="s">
        <v>82</v>
      </c>
      <c r="C527" s="26">
        <v>357</v>
      </c>
      <c r="D527" s="26">
        <v>718</v>
      </c>
      <c r="E527" s="26">
        <v>1.83</v>
      </c>
    </row>
    <row r="528" spans="1:5" ht="16.5" thickBot="1">
      <c r="A528" s="21">
        <v>46288</v>
      </c>
      <c r="B528" t="s">
        <v>82</v>
      </c>
      <c r="C528" s="26">
        <v>381</v>
      </c>
      <c r="D528" s="26">
        <v>720</v>
      </c>
      <c r="E528" s="26">
        <v>1.72</v>
      </c>
    </row>
    <row r="529" spans="1:5" ht="16.5" thickBot="1">
      <c r="A529" s="21">
        <v>46288</v>
      </c>
      <c r="B529" t="s">
        <v>82</v>
      </c>
      <c r="C529" s="26">
        <v>374</v>
      </c>
      <c r="D529" s="26">
        <v>716</v>
      </c>
      <c r="E529" s="26">
        <v>1.41</v>
      </c>
    </row>
    <row r="530" spans="1:5">
      <c r="A530" s="21">
        <v>46288</v>
      </c>
      <c r="B530" t="s">
        <v>82</v>
      </c>
      <c r="C530" s="8">
        <v>397</v>
      </c>
      <c r="D530" s="8">
        <v>746</v>
      </c>
      <c r="E530" s="8">
        <v>1.83</v>
      </c>
    </row>
    <row r="531" spans="1:5" ht="16.5" thickBot="1">
      <c r="A531" s="21">
        <v>46288</v>
      </c>
      <c r="B531" t="s">
        <v>82</v>
      </c>
      <c r="C531" s="26">
        <v>410</v>
      </c>
      <c r="D531" s="26">
        <v>774</v>
      </c>
      <c r="E531" s="26">
        <v>1.88</v>
      </c>
    </row>
    <row r="532" spans="1:5" ht="16.5" thickBot="1">
      <c r="A532" s="21">
        <v>46288</v>
      </c>
      <c r="B532" t="s">
        <v>82</v>
      </c>
      <c r="C532" s="26">
        <v>399</v>
      </c>
      <c r="D532" s="26">
        <v>756</v>
      </c>
      <c r="E532" s="26">
        <v>1.58</v>
      </c>
    </row>
    <row r="533" spans="1:5" ht="16.5" thickBot="1">
      <c r="A533" s="21">
        <v>46288</v>
      </c>
      <c r="B533" t="s">
        <v>82</v>
      </c>
      <c r="C533" s="26">
        <v>423</v>
      </c>
      <c r="D533" s="26">
        <v>797</v>
      </c>
      <c r="E533" s="26">
        <v>1.97</v>
      </c>
    </row>
    <row r="534" spans="1:5" ht="16.5" thickBot="1">
      <c r="A534" s="21">
        <v>46288</v>
      </c>
      <c r="B534" t="s">
        <v>82</v>
      </c>
      <c r="C534" s="26">
        <v>435</v>
      </c>
      <c r="D534" s="26">
        <v>781</v>
      </c>
      <c r="E534" s="26">
        <v>1.87</v>
      </c>
    </row>
    <row r="535" spans="1:5" ht="16.5" thickBot="1">
      <c r="A535" s="21">
        <v>46288</v>
      </c>
      <c r="B535" t="s">
        <v>82</v>
      </c>
      <c r="C535" s="26">
        <v>427</v>
      </c>
      <c r="D535" s="26">
        <v>790</v>
      </c>
      <c r="E535" s="26">
        <v>1.79</v>
      </c>
    </row>
    <row r="536" spans="1:5" ht="16.5" thickBot="1">
      <c r="A536" s="21">
        <v>46288</v>
      </c>
      <c r="B536" t="s">
        <v>82</v>
      </c>
      <c r="C536" s="26">
        <v>451</v>
      </c>
      <c r="D536" s="26">
        <v>831</v>
      </c>
      <c r="E536" s="26">
        <v>1.63</v>
      </c>
    </row>
    <row r="537" spans="1:5" ht="16.5" thickBot="1">
      <c r="A537" s="21">
        <v>46288</v>
      </c>
      <c r="B537" t="s">
        <v>82</v>
      </c>
      <c r="C537" s="26">
        <v>444</v>
      </c>
      <c r="D537" s="26">
        <v>854</v>
      </c>
      <c r="E537" s="26">
        <v>1.79</v>
      </c>
    </row>
    <row r="538" spans="1:5" ht="16.5" thickBot="1">
      <c r="A538" s="21">
        <v>46288</v>
      </c>
      <c r="B538" t="s">
        <v>82</v>
      </c>
      <c r="C538" s="26">
        <v>467</v>
      </c>
      <c r="D538" s="26">
        <v>845</v>
      </c>
      <c r="E538" s="26">
        <v>1.79</v>
      </c>
    </row>
    <row r="539" spans="1:5">
      <c r="A539" s="21">
        <v>46288</v>
      </c>
      <c r="B539" t="s">
        <v>82</v>
      </c>
      <c r="C539" s="27">
        <v>480</v>
      </c>
      <c r="D539" s="29">
        <v>856</v>
      </c>
      <c r="E539" s="29">
        <v>1.83</v>
      </c>
    </row>
    <row r="540" spans="1:5" ht="16.5" thickBot="1">
      <c r="A540" s="21">
        <v>46288</v>
      </c>
      <c r="B540" t="s">
        <v>82</v>
      </c>
      <c r="C540" s="26">
        <v>469</v>
      </c>
      <c r="D540" s="30">
        <v>884</v>
      </c>
      <c r="E540" s="30">
        <v>1.9</v>
      </c>
    </row>
    <row r="541" spans="1:5">
      <c r="A541" s="21">
        <v>46288</v>
      </c>
      <c r="B541" t="s">
        <v>82</v>
      </c>
      <c r="C541" s="27">
        <v>493</v>
      </c>
      <c r="D541" s="29">
        <v>892</v>
      </c>
      <c r="E541" s="29">
        <v>1.73</v>
      </c>
    </row>
    <row r="542" spans="1:5" ht="16.5" thickBot="1">
      <c r="A542" s="21">
        <v>46288</v>
      </c>
      <c r="B542" t="s">
        <v>100</v>
      </c>
      <c r="C542" s="26">
        <v>499</v>
      </c>
      <c r="D542" s="30">
        <v>910</v>
      </c>
      <c r="E542" s="30">
        <v>0.74</v>
      </c>
    </row>
    <row r="543" spans="1:5" ht="16.5" thickBot="1">
      <c r="A543" s="21">
        <v>46288</v>
      </c>
      <c r="B543" t="s">
        <v>100</v>
      </c>
      <c r="C543" s="26">
        <v>106</v>
      </c>
      <c r="D543" s="26">
        <v>314</v>
      </c>
      <c r="E543" s="26">
        <v>1.1100000000000001</v>
      </c>
    </row>
    <row r="544" spans="1:5">
      <c r="A544" s="21">
        <v>46288</v>
      </c>
      <c r="B544" t="s">
        <v>100</v>
      </c>
      <c r="C544" s="8">
        <v>122</v>
      </c>
      <c r="D544" s="8">
        <v>339</v>
      </c>
      <c r="E544" s="8">
        <v>1.06</v>
      </c>
    </row>
    <row r="545" spans="1:5">
      <c r="A545" s="21">
        <v>46288</v>
      </c>
      <c r="B545" t="s">
        <v>100</v>
      </c>
      <c r="C545" s="8">
        <v>115</v>
      </c>
      <c r="D545" s="8">
        <v>356</v>
      </c>
      <c r="E545" s="8">
        <v>1.23</v>
      </c>
    </row>
    <row r="546" spans="1:5" ht="16.5" thickBot="1">
      <c r="A546" s="21">
        <v>46288</v>
      </c>
      <c r="B546" t="s">
        <v>100</v>
      </c>
      <c r="C546" s="26">
        <v>138</v>
      </c>
      <c r="D546" s="26">
        <v>358</v>
      </c>
      <c r="E546" s="26">
        <v>1.05</v>
      </c>
    </row>
    <row r="547" spans="1:5" ht="16.5" thickBot="1">
      <c r="A547" s="21">
        <v>46288</v>
      </c>
      <c r="B547" t="s">
        <v>100</v>
      </c>
      <c r="C547" s="26">
        <v>150</v>
      </c>
      <c r="D547" s="26">
        <v>371</v>
      </c>
      <c r="E547" s="26">
        <v>1.24</v>
      </c>
    </row>
    <row r="548" spans="1:5">
      <c r="A548" s="21">
        <v>46289</v>
      </c>
      <c r="B548" t="s">
        <v>100</v>
      </c>
      <c r="C548" s="27">
        <v>142</v>
      </c>
      <c r="D548" s="29">
        <v>393</v>
      </c>
      <c r="E548" s="29">
        <v>0.92</v>
      </c>
    </row>
    <row r="549" spans="1:5" ht="16.5" thickBot="1">
      <c r="A549" s="21">
        <v>46289</v>
      </c>
      <c r="B549" t="s">
        <v>100</v>
      </c>
      <c r="C549" s="26">
        <v>165</v>
      </c>
      <c r="D549" s="30">
        <v>384</v>
      </c>
      <c r="E549" s="30">
        <v>0.85</v>
      </c>
    </row>
    <row r="550" spans="1:5" ht="16.5" thickBot="1">
      <c r="A550" s="21">
        <v>46289</v>
      </c>
      <c r="B550" t="s">
        <v>100</v>
      </c>
      <c r="C550" s="26">
        <v>157</v>
      </c>
      <c r="D550" s="26">
        <v>422</v>
      </c>
      <c r="E550" s="26">
        <v>1.35</v>
      </c>
    </row>
    <row r="551" spans="1:5">
      <c r="A551" s="21">
        <v>46289</v>
      </c>
      <c r="B551" t="s">
        <v>100</v>
      </c>
      <c r="C551" s="8">
        <v>180</v>
      </c>
      <c r="D551" s="8">
        <v>428</v>
      </c>
      <c r="E551" s="8">
        <v>1.1299999999999999</v>
      </c>
    </row>
    <row r="552" spans="1:5">
      <c r="A552" s="21">
        <v>46289</v>
      </c>
      <c r="B552" t="s">
        <v>100</v>
      </c>
      <c r="C552" s="27">
        <v>193</v>
      </c>
      <c r="D552" s="31">
        <v>435</v>
      </c>
      <c r="E552" s="31">
        <v>1.1200000000000001</v>
      </c>
    </row>
    <row r="553" spans="1:5" ht="16.5" thickBot="1">
      <c r="A553" s="21">
        <v>46289</v>
      </c>
      <c r="B553" t="s">
        <v>100</v>
      </c>
      <c r="C553" s="26">
        <v>182</v>
      </c>
      <c r="D553" s="26">
        <v>458</v>
      </c>
      <c r="E553" s="26">
        <v>1.3</v>
      </c>
    </row>
    <row r="554" spans="1:5" ht="16.5" thickBot="1">
      <c r="A554" s="21">
        <v>46289</v>
      </c>
      <c r="B554" t="s">
        <v>100</v>
      </c>
      <c r="C554" s="26">
        <v>206</v>
      </c>
      <c r="D554" s="26">
        <v>461</v>
      </c>
      <c r="E554" s="26">
        <v>1.25</v>
      </c>
    </row>
    <row r="555" spans="1:5">
      <c r="A555" s="21">
        <v>46289</v>
      </c>
      <c r="B555" t="s">
        <v>100</v>
      </c>
      <c r="C555" s="27">
        <v>218</v>
      </c>
      <c r="D555" s="29">
        <v>507</v>
      </c>
      <c r="E555" s="29">
        <v>1.1499999999999999</v>
      </c>
    </row>
    <row r="556" spans="1:5" ht="16.5" thickBot="1">
      <c r="A556" s="21">
        <v>46289</v>
      </c>
      <c r="B556" t="s">
        <v>100</v>
      </c>
      <c r="C556" s="26">
        <v>210</v>
      </c>
      <c r="D556" s="30">
        <v>516</v>
      </c>
      <c r="E556" s="30">
        <v>1.3</v>
      </c>
    </row>
    <row r="557" spans="1:5" ht="16.5" thickBot="1">
      <c r="A557" s="21">
        <v>46289</v>
      </c>
      <c r="B557" t="s">
        <v>100</v>
      </c>
      <c r="C557" s="26">
        <v>234</v>
      </c>
      <c r="D557" s="26">
        <v>532</v>
      </c>
      <c r="E557" s="26">
        <v>1.1100000000000001</v>
      </c>
    </row>
    <row r="558" spans="1:5" ht="16.5" thickBot="1">
      <c r="A558" s="21">
        <v>46289</v>
      </c>
      <c r="B558" t="s">
        <v>100</v>
      </c>
      <c r="C558" s="26">
        <v>227</v>
      </c>
      <c r="D558" s="26">
        <v>515</v>
      </c>
      <c r="E558" s="26">
        <v>1.35</v>
      </c>
    </row>
    <row r="559" spans="1:5">
      <c r="A559" s="21">
        <v>46289</v>
      </c>
      <c r="B559" t="s">
        <v>100</v>
      </c>
      <c r="C559" s="27">
        <v>250</v>
      </c>
      <c r="D559" s="29">
        <v>521</v>
      </c>
      <c r="E559" s="29">
        <v>1.3</v>
      </c>
    </row>
    <row r="560" spans="1:5">
      <c r="A560" s="21">
        <v>46289</v>
      </c>
      <c r="B560" t="s">
        <v>100</v>
      </c>
      <c r="C560" s="27">
        <v>263</v>
      </c>
      <c r="D560" s="31">
        <v>553</v>
      </c>
      <c r="E560" s="31">
        <v>1.32</v>
      </c>
    </row>
    <row r="561" spans="1:5" ht="16.5" thickBot="1">
      <c r="A561" s="21">
        <v>46289</v>
      </c>
      <c r="B561" t="s">
        <v>100</v>
      </c>
      <c r="C561" s="26">
        <v>252</v>
      </c>
      <c r="D561" s="30">
        <v>582</v>
      </c>
      <c r="E561" s="30">
        <v>1.1200000000000001</v>
      </c>
    </row>
    <row r="562" spans="1:5" ht="16.5" thickBot="1">
      <c r="A562" s="21">
        <v>46289</v>
      </c>
      <c r="B562" t="s">
        <v>100</v>
      </c>
      <c r="C562" s="26">
        <v>276</v>
      </c>
      <c r="D562" s="26">
        <v>585</v>
      </c>
      <c r="E562" s="26">
        <v>1.44</v>
      </c>
    </row>
    <row r="563" spans="1:5" ht="16.5" thickBot="1">
      <c r="A563" s="21">
        <v>46289</v>
      </c>
      <c r="B563" t="s">
        <v>100</v>
      </c>
      <c r="C563" s="26">
        <v>288</v>
      </c>
      <c r="D563" s="26">
        <v>618</v>
      </c>
      <c r="E563" s="26">
        <v>1.48</v>
      </c>
    </row>
    <row r="564" spans="1:5" ht="16.5" thickBot="1">
      <c r="A564" s="21">
        <v>46289</v>
      </c>
      <c r="B564" t="s">
        <v>100</v>
      </c>
      <c r="C564" s="26">
        <v>280</v>
      </c>
      <c r="D564" s="26">
        <v>591</v>
      </c>
      <c r="E564" s="26">
        <v>1.65</v>
      </c>
    </row>
    <row r="565" spans="1:5">
      <c r="A565" s="21">
        <v>46289</v>
      </c>
      <c r="B565" t="s">
        <v>100</v>
      </c>
      <c r="C565" s="27">
        <v>304</v>
      </c>
      <c r="D565" s="29">
        <v>632</v>
      </c>
      <c r="E565" s="29">
        <v>1.56</v>
      </c>
    </row>
    <row r="566" spans="1:5" ht="16.5" thickBot="1">
      <c r="A566" s="21">
        <v>46289</v>
      </c>
      <c r="B566" t="s">
        <v>100</v>
      </c>
      <c r="C566" s="26">
        <v>297</v>
      </c>
      <c r="D566" s="30">
        <v>618</v>
      </c>
      <c r="E566" s="30">
        <v>1.73</v>
      </c>
    </row>
    <row r="567" spans="1:5">
      <c r="A567" s="21">
        <v>46289</v>
      </c>
      <c r="B567" t="s">
        <v>100</v>
      </c>
      <c r="C567" s="27">
        <v>320</v>
      </c>
      <c r="D567" s="29">
        <v>663</v>
      </c>
      <c r="E567" s="29">
        <v>1.27</v>
      </c>
    </row>
    <row r="568" spans="1:5" ht="16.5" thickBot="1">
      <c r="A568" s="21">
        <v>46289</v>
      </c>
      <c r="B568" t="s">
        <v>100</v>
      </c>
      <c r="C568" s="26">
        <v>333</v>
      </c>
      <c r="D568" s="26">
        <v>681</v>
      </c>
      <c r="E568" s="26">
        <v>1.68</v>
      </c>
    </row>
    <row r="569" spans="1:5" ht="16.5" thickBot="1">
      <c r="A569" s="21">
        <v>46289</v>
      </c>
      <c r="B569" t="s">
        <v>100</v>
      </c>
      <c r="C569" s="26">
        <v>322</v>
      </c>
      <c r="D569" s="26">
        <v>686</v>
      </c>
      <c r="E569" s="26">
        <v>1.39</v>
      </c>
    </row>
    <row r="570" spans="1:5">
      <c r="A570" s="21">
        <v>46289</v>
      </c>
      <c r="B570" t="s">
        <v>100</v>
      </c>
      <c r="C570" s="8">
        <v>346</v>
      </c>
      <c r="D570" s="8">
        <v>696</v>
      </c>
      <c r="E570" s="8">
        <v>1.38</v>
      </c>
    </row>
    <row r="571" spans="1:5">
      <c r="A571" s="21">
        <v>46289</v>
      </c>
      <c r="B571" t="s">
        <v>100</v>
      </c>
      <c r="C571" s="8">
        <v>358</v>
      </c>
      <c r="D571" s="8">
        <v>701</v>
      </c>
      <c r="E571" s="8">
        <v>1.5</v>
      </c>
    </row>
    <row r="572" spans="1:5" ht="16.5" thickBot="1">
      <c r="A572" s="21">
        <v>46289</v>
      </c>
      <c r="B572" t="s">
        <v>100</v>
      </c>
      <c r="C572" s="26">
        <v>350</v>
      </c>
      <c r="D572" s="26">
        <v>708</v>
      </c>
      <c r="E572" s="26">
        <v>1.45</v>
      </c>
    </row>
    <row r="573" spans="1:5" ht="16.5" thickBot="1">
      <c r="A573" s="21">
        <v>46289</v>
      </c>
      <c r="B573" t="s">
        <v>100</v>
      </c>
      <c r="C573" s="26">
        <v>374</v>
      </c>
      <c r="D573" s="26">
        <v>754</v>
      </c>
      <c r="E573" s="26">
        <v>1.26</v>
      </c>
    </row>
    <row r="574" spans="1:5" ht="16.5" thickBot="1">
      <c r="A574" s="21">
        <v>46290</v>
      </c>
      <c r="B574" t="s">
        <v>100</v>
      </c>
      <c r="C574" s="26">
        <v>367</v>
      </c>
      <c r="D574" s="26">
        <v>759</v>
      </c>
      <c r="E574" s="26">
        <v>1.44</v>
      </c>
    </row>
    <row r="575" spans="1:5">
      <c r="A575" s="21">
        <v>46290</v>
      </c>
      <c r="B575" t="s">
        <v>100</v>
      </c>
      <c r="C575" s="27">
        <v>390</v>
      </c>
      <c r="D575" s="29">
        <v>767</v>
      </c>
      <c r="E575" s="29">
        <v>1.23</v>
      </c>
    </row>
    <row r="576" spans="1:5">
      <c r="A576" s="21">
        <v>46290</v>
      </c>
      <c r="B576" t="s">
        <v>100</v>
      </c>
      <c r="C576" s="27">
        <v>403</v>
      </c>
      <c r="D576" s="31">
        <v>761</v>
      </c>
      <c r="E576" s="31">
        <v>1.31</v>
      </c>
    </row>
    <row r="577" spans="1:5" ht="16.5" thickBot="1">
      <c r="A577" s="21">
        <v>46290</v>
      </c>
      <c r="B577" t="s">
        <v>100</v>
      </c>
      <c r="C577" s="26">
        <v>392</v>
      </c>
      <c r="D577" s="30">
        <v>794</v>
      </c>
      <c r="E577" s="30">
        <v>1.8</v>
      </c>
    </row>
    <row r="578" spans="1:5" ht="16.5" thickBot="1">
      <c r="A578" s="21">
        <v>46290</v>
      </c>
      <c r="B578" t="s">
        <v>100</v>
      </c>
      <c r="C578" s="26">
        <v>416</v>
      </c>
      <c r="D578" s="26">
        <v>807</v>
      </c>
      <c r="E578" s="26">
        <v>1.54</v>
      </c>
    </row>
    <row r="579" spans="1:5" ht="16.5" thickBot="1">
      <c r="A579" s="21">
        <v>46290</v>
      </c>
      <c r="B579" t="s">
        <v>100</v>
      </c>
      <c r="C579" s="26">
        <v>428</v>
      </c>
      <c r="D579" s="26">
        <v>801</v>
      </c>
      <c r="E579" s="26">
        <v>1.72</v>
      </c>
    </row>
    <row r="580" spans="1:5" ht="16.5" thickBot="1">
      <c r="A580" s="21">
        <v>46290</v>
      </c>
      <c r="B580" t="s">
        <v>100</v>
      </c>
      <c r="C580" s="26">
        <v>420</v>
      </c>
      <c r="D580" s="26">
        <v>823</v>
      </c>
      <c r="E580" s="26">
        <v>1.7</v>
      </c>
    </row>
    <row r="581" spans="1:5" ht="16.5" thickBot="1">
      <c r="A581" s="21">
        <v>46290</v>
      </c>
      <c r="B581" t="s">
        <v>100</v>
      </c>
      <c r="C581" s="26">
        <v>444</v>
      </c>
      <c r="D581" s="26">
        <v>852</v>
      </c>
      <c r="E581" s="26">
        <v>1.81</v>
      </c>
    </row>
    <row r="582" spans="1:5">
      <c r="A582" s="21">
        <v>46290</v>
      </c>
      <c r="B582" t="s">
        <v>100</v>
      </c>
      <c r="C582" s="8">
        <v>437</v>
      </c>
      <c r="D582" s="8">
        <v>867</v>
      </c>
      <c r="E582" s="8">
        <v>1.61</v>
      </c>
    </row>
    <row r="583" spans="1:5">
      <c r="A583" s="21">
        <v>46290</v>
      </c>
      <c r="B583" t="s">
        <v>100</v>
      </c>
      <c r="C583" s="27">
        <v>460</v>
      </c>
      <c r="D583" s="31">
        <v>850</v>
      </c>
      <c r="E583" s="31">
        <v>1.94</v>
      </c>
    </row>
    <row r="584" spans="1:5">
      <c r="A584" s="21">
        <v>46290</v>
      </c>
      <c r="B584" t="s">
        <v>100</v>
      </c>
      <c r="C584" s="27">
        <v>473</v>
      </c>
      <c r="D584" s="31">
        <v>868</v>
      </c>
      <c r="E584" s="31">
        <v>1.96</v>
      </c>
    </row>
    <row r="585" spans="1:5" ht="16.5" thickBot="1">
      <c r="A585" s="21">
        <v>46290</v>
      </c>
      <c r="B585" t="s">
        <v>100</v>
      </c>
      <c r="C585" s="26">
        <v>462</v>
      </c>
      <c r="D585" s="30">
        <v>888</v>
      </c>
      <c r="E585" s="30">
        <v>1.44</v>
      </c>
    </row>
    <row r="586" spans="1:5">
      <c r="A586" s="21">
        <v>46290</v>
      </c>
      <c r="B586" t="s">
        <v>100</v>
      </c>
      <c r="C586" s="27">
        <v>486</v>
      </c>
      <c r="D586" s="29">
        <v>899</v>
      </c>
      <c r="E586" s="29">
        <v>1.83</v>
      </c>
    </row>
    <row r="587" spans="1:5">
      <c r="A587" s="21">
        <v>46290</v>
      </c>
      <c r="B587" t="s">
        <v>101</v>
      </c>
      <c r="C587" s="27">
        <v>498</v>
      </c>
      <c r="D587" s="31">
        <v>923</v>
      </c>
      <c r="E587" s="31">
        <v>0.77</v>
      </c>
    </row>
    <row r="588" spans="1:5" ht="16.5" thickBot="1">
      <c r="A588" s="21">
        <v>46290</v>
      </c>
      <c r="B588" t="s">
        <v>101</v>
      </c>
      <c r="C588" s="26">
        <v>115</v>
      </c>
      <c r="D588" s="26">
        <v>319</v>
      </c>
      <c r="E588" s="26">
        <v>0.67</v>
      </c>
    </row>
    <row r="589" spans="1:5" ht="16.5" thickBot="1">
      <c r="A589" s="21">
        <v>46290</v>
      </c>
      <c r="B589" t="s">
        <v>101</v>
      </c>
      <c r="C589" s="26">
        <v>131</v>
      </c>
      <c r="D589" s="26">
        <v>333</v>
      </c>
      <c r="E589" s="26">
        <v>1.07</v>
      </c>
    </row>
    <row r="590" spans="1:5" ht="16.5" thickBot="1">
      <c r="A590" s="21">
        <v>46290</v>
      </c>
      <c r="B590" t="s">
        <v>101</v>
      </c>
      <c r="C590" s="26">
        <v>124</v>
      </c>
      <c r="D590" s="26">
        <v>386</v>
      </c>
      <c r="E590" s="26">
        <v>0.9</v>
      </c>
    </row>
    <row r="591" spans="1:5">
      <c r="A591" s="21">
        <v>46290</v>
      </c>
      <c r="B591" t="s">
        <v>101</v>
      </c>
      <c r="C591" s="27">
        <v>147</v>
      </c>
      <c r="D591" s="29">
        <v>379</v>
      </c>
      <c r="E591" s="29">
        <v>1.1299999999999999</v>
      </c>
    </row>
    <row r="592" spans="1:5" ht="16.5" thickBot="1">
      <c r="A592" s="21">
        <v>46290</v>
      </c>
      <c r="B592" t="s">
        <v>101</v>
      </c>
      <c r="C592" s="26">
        <v>159</v>
      </c>
      <c r="D592" s="30">
        <v>413</v>
      </c>
      <c r="E592" s="30">
        <v>0.83</v>
      </c>
    </row>
    <row r="593" spans="1:10">
      <c r="A593" s="21">
        <v>46290</v>
      </c>
      <c r="B593" t="s">
        <v>101</v>
      </c>
      <c r="C593" s="27">
        <v>151</v>
      </c>
      <c r="D593" s="29">
        <v>428</v>
      </c>
      <c r="E593" s="29">
        <v>1.02</v>
      </c>
    </row>
    <row r="594" spans="1:10" ht="16.5" thickBot="1">
      <c r="A594" s="21">
        <v>46290</v>
      </c>
      <c r="B594" t="s">
        <v>101</v>
      </c>
      <c r="C594" s="26">
        <v>174</v>
      </c>
      <c r="D594" s="26">
        <v>438</v>
      </c>
      <c r="E594" s="26">
        <v>1.01</v>
      </c>
    </row>
    <row r="595" spans="1:10">
      <c r="A595" s="21">
        <v>46290</v>
      </c>
      <c r="B595" t="s">
        <v>101</v>
      </c>
      <c r="C595" s="25">
        <v>166</v>
      </c>
      <c r="D595" s="25">
        <v>446</v>
      </c>
      <c r="E595" s="8">
        <v>1.26</v>
      </c>
    </row>
    <row r="596" spans="1:10">
      <c r="A596" s="21">
        <v>46290</v>
      </c>
      <c r="B596" t="s">
        <v>101</v>
      </c>
      <c r="C596" s="8">
        <v>189</v>
      </c>
      <c r="D596" s="8">
        <v>428</v>
      </c>
      <c r="E596" s="8">
        <v>1.29</v>
      </c>
    </row>
    <row r="597" spans="1:10">
      <c r="A597" s="21">
        <v>46290</v>
      </c>
      <c r="B597" t="s">
        <v>101</v>
      </c>
      <c r="C597" s="8">
        <v>202</v>
      </c>
      <c r="D597" s="8">
        <v>478</v>
      </c>
      <c r="E597" s="8">
        <v>1.24</v>
      </c>
    </row>
    <row r="598" spans="1:10">
      <c r="A598" s="21">
        <v>46290</v>
      </c>
      <c r="B598" t="s">
        <v>101</v>
      </c>
      <c r="C598" s="27">
        <v>191</v>
      </c>
      <c r="D598" s="31">
        <v>477</v>
      </c>
      <c r="E598" s="31">
        <v>1.52</v>
      </c>
    </row>
    <row r="599" spans="1:10" ht="16.5" thickBot="1">
      <c r="A599" s="21">
        <v>46290</v>
      </c>
      <c r="B599" t="s">
        <v>101</v>
      </c>
      <c r="C599" s="26">
        <v>215</v>
      </c>
      <c r="D599" s="30">
        <v>497</v>
      </c>
      <c r="E599" s="30">
        <v>1.06</v>
      </c>
    </row>
    <row r="600" spans="1:10" ht="16.5" thickBot="1">
      <c r="A600" s="21">
        <v>46291</v>
      </c>
      <c r="B600" t="s">
        <v>101</v>
      </c>
      <c r="C600" s="32">
        <v>227</v>
      </c>
      <c r="D600" s="32">
        <v>503</v>
      </c>
      <c r="E600" s="33">
        <v>1.06</v>
      </c>
      <c r="J600" s="33"/>
    </row>
    <row r="601" spans="1:10" ht="16.5" thickBot="1">
      <c r="A601" s="21">
        <v>46291</v>
      </c>
      <c r="B601" t="s">
        <v>101</v>
      </c>
      <c r="C601" s="32">
        <v>219</v>
      </c>
      <c r="D601" s="32">
        <v>511</v>
      </c>
      <c r="E601" s="33">
        <v>1.35</v>
      </c>
      <c r="J601" s="34"/>
    </row>
    <row r="602" spans="1:10" ht="16.5" thickBot="1">
      <c r="A602" s="21">
        <v>46291</v>
      </c>
      <c r="B602" t="s">
        <v>101</v>
      </c>
      <c r="C602" s="32">
        <v>243</v>
      </c>
      <c r="D602" s="32">
        <v>529</v>
      </c>
      <c r="E602" s="33">
        <v>1.49</v>
      </c>
      <c r="J602" s="33"/>
    </row>
    <row r="603" spans="1:10" ht="16.5" thickBot="1">
      <c r="A603" s="21">
        <v>46291</v>
      </c>
      <c r="B603" t="s">
        <v>101</v>
      </c>
      <c r="C603" s="32">
        <v>236</v>
      </c>
      <c r="D603" s="32">
        <v>546</v>
      </c>
      <c r="E603" s="33">
        <v>1.3</v>
      </c>
      <c r="J603" s="33"/>
    </row>
    <row r="604" spans="1:10" ht="16.5" thickBot="1">
      <c r="A604" s="21">
        <v>46291</v>
      </c>
      <c r="B604" t="s">
        <v>101</v>
      </c>
      <c r="C604" s="32">
        <v>259</v>
      </c>
      <c r="D604" s="32">
        <v>551</v>
      </c>
      <c r="E604" s="33">
        <v>1.21</v>
      </c>
      <c r="J604" s="33"/>
    </row>
    <row r="605" spans="1:10" ht="16.5" thickBot="1">
      <c r="A605" s="21">
        <v>46291</v>
      </c>
      <c r="B605" t="s">
        <v>101</v>
      </c>
      <c r="C605" s="32">
        <v>272</v>
      </c>
      <c r="D605" s="32">
        <v>555</v>
      </c>
      <c r="E605" s="33">
        <v>1.08</v>
      </c>
      <c r="J605" s="33"/>
    </row>
    <row r="606" spans="1:10" ht="16.5" thickBot="1">
      <c r="A606" s="21">
        <v>46291</v>
      </c>
      <c r="B606" t="s">
        <v>101</v>
      </c>
      <c r="C606" s="32">
        <v>261</v>
      </c>
      <c r="D606" s="32">
        <v>600</v>
      </c>
      <c r="E606" s="33">
        <v>0.96</v>
      </c>
      <c r="J606" s="33"/>
    </row>
    <row r="607" spans="1:10" ht="16.5" thickBot="1">
      <c r="A607" s="21">
        <v>46291</v>
      </c>
      <c r="B607" t="s">
        <v>101</v>
      </c>
      <c r="C607" s="32">
        <v>285</v>
      </c>
      <c r="D607" s="32">
        <v>591</v>
      </c>
      <c r="E607" s="33">
        <v>1.33</v>
      </c>
      <c r="J607" s="33"/>
    </row>
    <row r="608" spans="1:10" ht="16.5" thickBot="1">
      <c r="A608" s="21">
        <v>46291</v>
      </c>
      <c r="B608" t="s">
        <v>101</v>
      </c>
      <c r="C608" s="8">
        <v>297</v>
      </c>
      <c r="D608" s="8">
        <v>593</v>
      </c>
      <c r="E608" s="8">
        <v>1.33</v>
      </c>
      <c r="J608" s="33"/>
    </row>
    <row r="609" spans="1:18" ht="16.5" thickBot="1">
      <c r="A609" s="21">
        <v>46291</v>
      </c>
      <c r="B609" t="s">
        <v>101</v>
      </c>
      <c r="C609" s="32">
        <v>289</v>
      </c>
      <c r="D609" s="32">
        <v>606</v>
      </c>
      <c r="E609" s="33">
        <v>1.27</v>
      </c>
      <c r="J609" s="33"/>
    </row>
    <row r="610" spans="1:18" ht="16.5" thickBot="1">
      <c r="A610" s="21">
        <v>46291</v>
      </c>
      <c r="B610" t="s">
        <v>101</v>
      </c>
      <c r="C610" s="32">
        <v>313</v>
      </c>
      <c r="D610" s="32">
        <v>646</v>
      </c>
      <c r="E610" s="33">
        <v>1.4</v>
      </c>
      <c r="J610" s="33"/>
    </row>
    <row r="611" spans="1:18" ht="16.5" thickBot="1">
      <c r="A611" s="21">
        <v>46291</v>
      </c>
      <c r="B611" t="s">
        <v>101</v>
      </c>
      <c r="C611" s="32">
        <v>306</v>
      </c>
      <c r="D611" s="32">
        <v>667</v>
      </c>
      <c r="E611" s="33">
        <v>1.47</v>
      </c>
      <c r="J611" s="33"/>
      <c r="N611" s="21"/>
      <c r="P611" s="32"/>
      <c r="Q611" s="32"/>
      <c r="R611" s="33"/>
    </row>
    <row r="612" spans="1:18" ht="16.5" thickBot="1">
      <c r="A612" s="21">
        <v>46291</v>
      </c>
      <c r="B612" t="s">
        <v>101</v>
      </c>
      <c r="C612" s="32">
        <v>329</v>
      </c>
      <c r="D612" s="32">
        <v>672</v>
      </c>
      <c r="E612" s="33">
        <v>1.6</v>
      </c>
      <c r="J612" s="33"/>
      <c r="N612" s="21"/>
      <c r="P612" s="32"/>
      <c r="Q612" s="32"/>
      <c r="R612" s="33"/>
    </row>
    <row r="613" spans="1:18" ht="16.5" thickBot="1">
      <c r="A613" s="21">
        <v>46291</v>
      </c>
      <c r="B613" t="s">
        <v>101</v>
      </c>
      <c r="C613" s="32">
        <v>342</v>
      </c>
      <c r="D613" s="32">
        <v>661</v>
      </c>
      <c r="E613" s="33">
        <v>1.6</v>
      </c>
      <c r="J613" s="33"/>
    </row>
    <row r="614" spans="1:18" ht="16.5" thickBot="1">
      <c r="A614" s="21">
        <v>46291</v>
      </c>
      <c r="B614" t="s">
        <v>101</v>
      </c>
      <c r="C614" s="32">
        <v>331</v>
      </c>
      <c r="D614" s="32">
        <v>680</v>
      </c>
      <c r="E614" s="33">
        <v>1.35</v>
      </c>
      <c r="I614" s="21"/>
      <c r="K614" s="32"/>
      <c r="L614" s="32"/>
      <c r="M614" s="33"/>
    </row>
    <row r="615" spans="1:18" ht="16.5" thickBot="1">
      <c r="A615" s="21">
        <v>46291</v>
      </c>
      <c r="B615" t="s">
        <v>101</v>
      </c>
      <c r="C615" s="32">
        <v>355</v>
      </c>
      <c r="D615" s="32">
        <v>717</v>
      </c>
      <c r="E615" s="33">
        <v>1.32</v>
      </c>
      <c r="I615" s="21"/>
      <c r="K615" s="32"/>
      <c r="L615" s="32"/>
      <c r="M615" s="33"/>
    </row>
    <row r="616" spans="1:18" ht="16.5" thickBot="1">
      <c r="A616" s="21">
        <v>46291</v>
      </c>
      <c r="B616" t="s">
        <v>101</v>
      </c>
      <c r="C616" s="32">
        <v>367</v>
      </c>
      <c r="D616" s="32">
        <v>710</v>
      </c>
      <c r="E616" s="33">
        <v>1.42</v>
      </c>
      <c r="J616" s="33"/>
    </row>
    <row r="617" spans="1:18" ht="16.5" thickBot="1">
      <c r="A617" s="21">
        <v>46291</v>
      </c>
      <c r="B617" t="s">
        <v>101</v>
      </c>
      <c r="C617" s="32">
        <v>359</v>
      </c>
      <c r="D617" s="32">
        <v>716</v>
      </c>
      <c r="E617" s="33">
        <v>1.24</v>
      </c>
      <c r="J617" s="33"/>
    </row>
    <row r="618" spans="1:18" ht="16.5" thickBot="1">
      <c r="A618" s="21">
        <v>46291</v>
      </c>
      <c r="B618" t="s">
        <v>101</v>
      </c>
      <c r="C618" s="32">
        <v>383</v>
      </c>
      <c r="D618" s="32">
        <v>764</v>
      </c>
      <c r="E618" s="33">
        <v>1.36</v>
      </c>
      <c r="J618" s="33"/>
    </row>
    <row r="619" spans="1:18" ht="16.5" thickBot="1">
      <c r="A619" s="21">
        <v>46291</v>
      </c>
      <c r="B619" t="s">
        <v>101</v>
      </c>
      <c r="C619" s="32">
        <v>376</v>
      </c>
      <c r="D619" s="32">
        <v>782</v>
      </c>
      <c r="E619" s="33">
        <v>1.52</v>
      </c>
      <c r="J619" s="33"/>
    </row>
    <row r="620" spans="1:18" ht="16.5" thickBot="1">
      <c r="A620" s="21">
        <v>46291</v>
      </c>
      <c r="B620" t="s">
        <v>101</v>
      </c>
      <c r="C620" s="32">
        <v>399</v>
      </c>
      <c r="D620" s="32">
        <v>797</v>
      </c>
      <c r="E620" s="33">
        <v>1.73</v>
      </c>
      <c r="J620" s="33"/>
    </row>
    <row r="621" spans="1:18" ht="16.5" thickBot="1">
      <c r="A621" s="21">
        <v>46291</v>
      </c>
      <c r="B621" t="s">
        <v>101</v>
      </c>
      <c r="C621" s="32">
        <v>412</v>
      </c>
      <c r="D621" s="32">
        <v>803</v>
      </c>
      <c r="E621" s="33">
        <v>1.63</v>
      </c>
      <c r="J621" s="33"/>
    </row>
    <row r="622" spans="1:18">
      <c r="A622" s="21">
        <v>46291</v>
      </c>
      <c r="B622" t="s">
        <v>101</v>
      </c>
      <c r="C622" s="8">
        <v>401</v>
      </c>
      <c r="D622" s="8">
        <v>795</v>
      </c>
      <c r="E622" s="8">
        <v>1.73</v>
      </c>
      <c r="J622" s="33"/>
    </row>
    <row r="623" spans="1:18" ht="16.5" thickBot="1">
      <c r="A623" s="21">
        <v>46291</v>
      </c>
      <c r="B623" t="s">
        <v>101</v>
      </c>
      <c r="C623" s="8">
        <v>425</v>
      </c>
      <c r="D623" s="8">
        <v>830</v>
      </c>
      <c r="E623" s="8">
        <v>1.62</v>
      </c>
      <c r="J623" s="33"/>
    </row>
    <row r="624" spans="1:18" ht="16.5" thickBot="1">
      <c r="A624" s="21">
        <v>46291</v>
      </c>
      <c r="B624" t="s">
        <v>101</v>
      </c>
      <c r="C624" s="32">
        <v>437</v>
      </c>
      <c r="D624" s="32">
        <v>855</v>
      </c>
      <c r="E624" s="33">
        <v>1.64</v>
      </c>
      <c r="J624" s="33"/>
    </row>
    <row r="625" spans="1:10" ht="16.5" thickBot="1">
      <c r="A625" s="21">
        <v>46291</v>
      </c>
      <c r="B625" t="s">
        <v>101</v>
      </c>
      <c r="C625" s="32">
        <v>429</v>
      </c>
      <c r="D625" s="32">
        <v>851</v>
      </c>
      <c r="E625" s="33">
        <v>1.59</v>
      </c>
      <c r="J625" s="33"/>
    </row>
    <row r="626" spans="1:10">
      <c r="A626" s="21">
        <v>46292</v>
      </c>
      <c r="B626" t="s">
        <v>101</v>
      </c>
      <c r="C626" s="8">
        <v>453</v>
      </c>
      <c r="D626" s="8">
        <v>843</v>
      </c>
      <c r="E626" s="8">
        <v>1.43</v>
      </c>
    </row>
    <row r="627" spans="1:10">
      <c r="A627" s="21">
        <v>46292</v>
      </c>
      <c r="B627" t="s">
        <v>101</v>
      </c>
      <c r="C627" s="8">
        <v>446</v>
      </c>
      <c r="D627" s="8">
        <v>888</v>
      </c>
      <c r="E627" s="8">
        <v>1.62</v>
      </c>
    </row>
    <row r="628" spans="1:10">
      <c r="A628" s="21">
        <v>46292</v>
      </c>
      <c r="B628" t="s">
        <v>101</v>
      </c>
      <c r="C628" s="8">
        <v>469</v>
      </c>
      <c r="D628" s="8">
        <v>908</v>
      </c>
      <c r="E628" s="8">
        <v>1.76</v>
      </c>
    </row>
    <row r="629" spans="1:10">
      <c r="A629" s="21">
        <v>46292</v>
      </c>
      <c r="B629" t="s">
        <v>101</v>
      </c>
      <c r="C629" s="8">
        <v>482</v>
      </c>
      <c r="D629" s="8">
        <v>888</v>
      </c>
      <c r="E629" s="8">
        <v>1.52</v>
      </c>
    </row>
    <row r="630" spans="1:10">
      <c r="A630" s="21">
        <v>46292</v>
      </c>
      <c r="B630" t="s">
        <v>101</v>
      </c>
      <c r="C630" s="8">
        <v>471</v>
      </c>
      <c r="D630" s="8">
        <v>900</v>
      </c>
      <c r="E630" s="8">
        <v>1.75</v>
      </c>
    </row>
    <row r="631" spans="1:10">
      <c r="A631" s="21">
        <v>46292</v>
      </c>
      <c r="B631" t="s">
        <v>101</v>
      </c>
      <c r="C631" s="8">
        <v>495</v>
      </c>
      <c r="D631" s="8">
        <v>949</v>
      </c>
      <c r="E631" s="8">
        <v>1.65</v>
      </c>
    </row>
    <row r="632" spans="1:10">
      <c r="A632" s="21">
        <v>46292</v>
      </c>
      <c r="B632" t="s">
        <v>102</v>
      </c>
      <c r="C632" s="8">
        <v>500</v>
      </c>
      <c r="D632" s="8">
        <v>931</v>
      </c>
      <c r="E632" s="8">
        <v>0.73</v>
      </c>
    </row>
    <row r="633" spans="1:10">
      <c r="A633" s="21">
        <v>46292</v>
      </c>
      <c r="B633" t="s">
        <v>102</v>
      </c>
      <c r="C633" s="8">
        <v>100</v>
      </c>
      <c r="D633" s="8">
        <v>362</v>
      </c>
      <c r="E633" s="8">
        <v>1.2</v>
      </c>
    </row>
    <row r="634" spans="1:10">
      <c r="A634" s="21">
        <v>46292</v>
      </c>
      <c r="B634" t="s">
        <v>102</v>
      </c>
      <c r="C634" s="8">
        <v>117</v>
      </c>
      <c r="D634" s="8">
        <v>389</v>
      </c>
      <c r="E634" s="8">
        <v>1.1599999999999999</v>
      </c>
    </row>
    <row r="635" spans="1:10">
      <c r="A635" s="21">
        <v>46292</v>
      </c>
      <c r="B635" t="s">
        <v>102</v>
      </c>
      <c r="C635" s="8">
        <v>110</v>
      </c>
      <c r="D635" s="8">
        <v>373</v>
      </c>
      <c r="E635" s="8">
        <v>1.19</v>
      </c>
    </row>
    <row r="636" spans="1:10">
      <c r="A636" s="21">
        <v>46292</v>
      </c>
      <c r="B636" t="s">
        <v>102</v>
      </c>
      <c r="C636" s="8">
        <v>133</v>
      </c>
      <c r="D636" s="8">
        <v>414</v>
      </c>
      <c r="E636" s="8">
        <v>1.06</v>
      </c>
    </row>
    <row r="637" spans="1:10">
      <c r="A637" s="21">
        <v>46292</v>
      </c>
      <c r="B637" t="s">
        <v>102</v>
      </c>
      <c r="C637" s="8">
        <v>145</v>
      </c>
      <c r="D637" s="8">
        <v>401</v>
      </c>
      <c r="E637" s="8">
        <v>0.88</v>
      </c>
    </row>
    <row r="638" spans="1:10">
      <c r="A638" s="21">
        <v>46292</v>
      </c>
      <c r="B638" t="s">
        <v>102</v>
      </c>
      <c r="C638" s="8">
        <v>137</v>
      </c>
      <c r="D638" s="8">
        <v>445</v>
      </c>
      <c r="E638" s="8">
        <v>1.26</v>
      </c>
    </row>
    <row r="639" spans="1:10">
      <c r="A639" s="21">
        <v>46292</v>
      </c>
      <c r="B639" t="s">
        <v>102</v>
      </c>
      <c r="C639" s="8">
        <v>160</v>
      </c>
      <c r="D639" s="8">
        <v>427</v>
      </c>
      <c r="E639" s="8">
        <v>1.05</v>
      </c>
    </row>
    <row r="640" spans="1:10">
      <c r="A640" s="21">
        <v>46292</v>
      </c>
      <c r="B640" t="s">
        <v>102</v>
      </c>
      <c r="C640" s="8">
        <v>152</v>
      </c>
      <c r="D640" s="8">
        <v>436</v>
      </c>
      <c r="E640" s="8">
        <v>1.26</v>
      </c>
    </row>
    <row r="641" spans="1:5">
      <c r="A641" s="21">
        <v>46292</v>
      </c>
      <c r="B641" t="s">
        <v>102</v>
      </c>
      <c r="C641" s="8">
        <v>175</v>
      </c>
      <c r="D641" s="8">
        <v>468</v>
      </c>
      <c r="E641" s="8">
        <v>1.02</v>
      </c>
    </row>
    <row r="642" spans="1:5">
      <c r="A642" s="21">
        <v>46292</v>
      </c>
      <c r="B642" t="s">
        <v>102</v>
      </c>
      <c r="C642" s="8">
        <v>188</v>
      </c>
      <c r="D642" s="8">
        <v>466</v>
      </c>
      <c r="E642" s="8">
        <v>1.05</v>
      </c>
    </row>
    <row r="643" spans="1:5">
      <c r="A643" s="21">
        <v>46292</v>
      </c>
      <c r="B643" t="s">
        <v>102</v>
      </c>
      <c r="C643" s="8">
        <v>177</v>
      </c>
      <c r="D643" s="8">
        <v>481</v>
      </c>
      <c r="E643" s="8">
        <v>1.21</v>
      </c>
    </row>
    <row r="644" spans="1:5">
      <c r="A644" s="21">
        <v>46292</v>
      </c>
      <c r="B644" t="s">
        <v>102</v>
      </c>
      <c r="C644" s="8">
        <v>201</v>
      </c>
      <c r="D644" s="8">
        <v>488</v>
      </c>
      <c r="E644" s="8">
        <v>1.18</v>
      </c>
    </row>
    <row r="645" spans="1:5">
      <c r="A645" s="21">
        <v>46292</v>
      </c>
      <c r="B645" t="s">
        <v>102</v>
      </c>
      <c r="C645" s="8">
        <v>213</v>
      </c>
      <c r="D645" s="8">
        <v>504</v>
      </c>
      <c r="E645" s="8">
        <v>1.53</v>
      </c>
    </row>
    <row r="646" spans="1:5">
      <c r="A646" s="21">
        <v>46292</v>
      </c>
      <c r="B646" t="s">
        <v>102</v>
      </c>
      <c r="C646" s="8">
        <v>205</v>
      </c>
      <c r="D646" s="8">
        <v>524</v>
      </c>
      <c r="E646" s="8">
        <v>1.1599999999999999</v>
      </c>
    </row>
    <row r="647" spans="1:5">
      <c r="A647" s="21">
        <v>46292</v>
      </c>
      <c r="B647" t="s">
        <v>102</v>
      </c>
      <c r="C647" s="8">
        <v>229</v>
      </c>
      <c r="D647" s="8">
        <v>529</v>
      </c>
      <c r="E647" s="8">
        <v>1.32</v>
      </c>
    </row>
    <row r="648" spans="1:5">
      <c r="A648" s="21">
        <v>46292</v>
      </c>
      <c r="B648" t="s">
        <v>102</v>
      </c>
      <c r="C648" s="8">
        <v>222</v>
      </c>
      <c r="D648" s="8">
        <v>575</v>
      </c>
      <c r="E648" s="8">
        <v>1.46</v>
      </c>
    </row>
    <row r="649" spans="1:5">
      <c r="A649" s="21">
        <v>46292</v>
      </c>
      <c r="B649" t="s">
        <v>102</v>
      </c>
      <c r="C649" s="8">
        <v>245</v>
      </c>
      <c r="D649" s="8">
        <v>555</v>
      </c>
      <c r="E649" s="8">
        <v>1.33</v>
      </c>
    </row>
    <row r="650" spans="1:5">
      <c r="A650" s="21">
        <v>46292</v>
      </c>
      <c r="B650" t="s">
        <v>102</v>
      </c>
      <c r="C650" s="8">
        <v>258</v>
      </c>
      <c r="D650" s="8">
        <v>575</v>
      </c>
      <c r="E650" s="8">
        <v>1.38</v>
      </c>
    </row>
    <row r="651" spans="1:5">
      <c r="A651" s="21">
        <v>46292</v>
      </c>
      <c r="B651" t="s">
        <v>102</v>
      </c>
      <c r="C651" s="8">
        <v>247</v>
      </c>
      <c r="D651" s="8">
        <v>607</v>
      </c>
      <c r="E651" s="8">
        <v>1.56</v>
      </c>
    </row>
    <row r="652" spans="1:5">
      <c r="A652" s="21">
        <v>46293</v>
      </c>
      <c r="B652" t="s">
        <v>102</v>
      </c>
      <c r="C652" s="8">
        <v>271</v>
      </c>
      <c r="D652" s="8">
        <v>617</v>
      </c>
      <c r="E652" s="8">
        <v>1.4</v>
      </c>
    </row>
    <row r="653" spans="1:5">
      <c r="A653" s="21">
        <v>46293</v>
      </c>
      <c r="B653" t="s">
        <v>102</v>
      </c>
      <c r="C653" s="8">
        <v>283</v>
      </c>
      <c r="D653" s="8">
        <v>614</v>
      </c>
      <c r="E653" s="8">
        <v>1.52</v>
      </c>
    </row>
    <row r="654" spans="1:5">
      <c r="A654" s="21">
        <v>46293</v>
      </c>
      <c r="B654" t="s">
        <v>102</v>
      </c>
      <c r="C654" s="8">
        <v>275</v>
      </c>
      <c r="D654" s="8">
        <v>659</v>
      </c>
      <c r="E654" s="8">
        <v>1.28</v>
      </c>
    </row>
    <row r="655" spans="1:5">
      <c r="A655" s="21">
        <v>46293</v>
      </c>
      <c r="B655" t="s">
        <v>102</v>
      </c>
      <c r="C655" s="8">
        <v>299</v>
      </c>
      <c r="D655" s="8">
        <v>654</v>
      </c>
      <c r="E655" s="8">
        <v>1.37</v>
      </c>
    </row>
    <row r="656" spans="1:5">
      <c r="A656" s="21">
        <v>46293</v>
      </c>
      <c r="B656" t="s">
        <v>102</v>
      </c>
      <c r="C656" s="8">
        <v>292</v>
      </c>
      <c r="D656" s="8">
        <v>667</v>
      </c>
      <c r="E656" s="8">
        <v>1.27</v>
      </c>
    </row>
    <row r="657" spans="1:5">
      <c r="A657" s="21">
        <v>46293</v>
      </c>
      <c r="B657" t="s">
        <v>102</v>
      </c>
      <c r="C657" s="8">
        <v>315</v>
      </c>
      <c r="D657" s="8">
        <v>668</v>
      </c>
      <c r="E657" s="8">
        <v>1.51</v>
      </c>
    </row>
    <row r="658" spans="1:5">
      <c r="A658" s="21">
        <v>46293</v>
      </c>
      <c r="B658" t="s">
        <v>102</v>
      </c>
      <c r="C658" s="8">
        <v>328</v>
      </c>
      <c r="D658" s="8">
        <v>690</v>
      </c>
      <c r="E658" s="8">
        <v>1.31</v>
      </c>
    </row>
    <row r="659" spans="1:5">
      <c r="A659" s="21">
        <v>46293</v>
      </c>
      <c r="B659" t="s">
        <v>102</v>
      </c>
      <c r="C659" s="8">
        <v>317</v>
      </c>
      <c r="D659" s="8">
        <v>715</v>
      </c>
      <c r="E659" s="8">
        <v>1.61</v>
      </c>
    </row>
    <row r="660" spans="1:5">
      <c r="A660" s="21">
        <v>46293</v>
      </c>
      <c r="B660" t="s">
        <v>102</v>
      </c>
      <c r="C660" s="8">
        <v>341</v>
      </c>
      <c r="D660" s="8">
        <v>724</v>
      </c>
      <c r="E660" s="8">
        <v>1.24</v>
      </c>
    </row>
    <row r="661" spans="1:5">
      <c r="A661" s="21">
        <v>46293</v>
      </c>
      <c r="B661" t="s">
        <v>102</v>
      </c>
      <c r="C661" s="8">
        <v>353</v>
      </c>
      <c r="D661" s="8">
        <v>749</v>
      </c>
      <c r="E661" s="8">
        <v>1.44</v>
      </c>
    </row>
    <row r="662" spans="1:5">
      <c r="A662" s="21">
        <v>46293</v>
      </c>
      <c r="B662" t="s">
        <v>102</v>
      </c>
      <c r="C662" s="8">
        <v>345</v>
      </c>
      <c r="D662" s="8">
        <v>741</v>
      </c>
      <c r="E662" s="8">
        <v>1.73</v>
      </c>
    </row>
    <row r="663" spans="1:5">
      <c r="A663" s="21">
        <v>46293</v>
      </c>
      <c r="B663" t="s">
        <v>102</v>
      </c>
      <c r="C663" s="8">
        <v>369</v>
      </c>
      <c r="D663" s="8">
        <v>777</v>
      </c>
      <c r="E663" s="8">
        <v>1.45</v>
      </c>
    </row>
    <row r="664" spans="1:5">
      <c r="A664" s="21">
        <v>46293</v>
      </c>
      <c r="B664" t="s">
        <v>102</v>
      </c>
      <c r="C664" s="8">
        <v>362</v>
      </c>
      <c r="D664" s="8">
        <v>790</v>
      </c>
      <c r="E664" s="8">
        <v>1.64</v>
      </c>
    </row>
    <row r="665" spans="1:5">
      <c r="A665" s="21">
        <v>46293</v>
      </c>
      <c r="B665" t="s">
        <v>102</v>
      </c>
      <c r="C665" s="8">
        <v>385</v>
      </c>
      <c r="D665" s="8">
        <v>798</v>
      </c>
      <c r="E665" s="8">
        <v>1.6</v>
      </c>
    </row>
    <row r="666" spans="1:5">
      <c r="A666" s="21">
        <v>46293</v>
      </c>
      <c r="B666" t="s">
        <v>102</v>
      </c>
      <c r="C666" s="8">
        <v>398</v>
      </c>
      <c r="D666" s="8">
        <v>805</v>
      </c>
      <c r="E666" s="8">
        <v>1.55</v>
      </c>
    </row>
    <row r="667" spans="1:5">
      <c r="A667" s="21">
        <v>46293</v>
      </c>
      <c r="B667" t="s">
        <v>102</v>
      </c>
      <c r="C667" s="8">
        <v>387</v>
      </c>
      <c r="D667" s="8">
        <v>822</v>
      </c>
      <c r="E667" s="8">
        <v>1.47</v>
      </c>
    </row>
    <row r="668" spans="1:5">
      <c r="A668" s="21">
        <v>46293</v>
      </c>
      <c r="B668" t="s">
        <v>102</v>
      </c>
      <c r="C668" s="8">
        <v>411</v>
      </c>
      <c r="D668" s="8">
        <v>845</v>
      </c>
      <c r="E668" s="8">
        <v>1.37</v>
      </c>
    </row>
    <row r="669" spans="1:5">
      <c r="A669" s="21">
        <v>46293</v>
      </c>
      <c r="B669" t="s">
        <v>102</v>
      </c>
      <c r="C669" s="8">
        <v>423</v>
      </c>
      <c r="D669" s="8">
        <v>831</v>
      </c>
      <c r="E669" s="8">
        <v>1.79</v>
      </c>
    </row>
    <row r="670" spans="1:5">
      <c r="A670" s="21">
        <v>46293</v>
      </c>
      <c r="B670" t="s">
        <v>102</v>
      </c>
      <c r="C670" s="8">
        <v>415</v>
      </c>
      <c r="D670" s="8">
        <v>849</v>
      </c>
      <c r="E670" s="8">
        <v>1.54</v>
      </c>
    </row>
    <row r="671" spans="1:5">
      <c r="A671" s="21">
        <v>46293</v>
      </c>
      <c r="B671" t="s">
        <v>102</v>
      </c>
      <c r="C671" s="8">
        <v>439</v>
      </c>
      <c r="D671" s="8">
        <v>861</v>
      </c>
      <c r="E671" s="8">
        <v>1.56</v>
      </c>
    </row>
    <row r="672" spans="1:5">
      <c r="A672" s="21">
        <v>46293</v>
      </c>
      <c r="B672" t="s">
        <v>102</v>
      </c>
      <c r="C672" s="8">
        <v>432</v>
      </c>
      <c r="D672" s="8">
        <v>900</v>
      </c>
      <c r="E672" s="8">
        <v>1.69</v>
      </c>
    </row>
    <row r="673" spans="1:5">
      <c r="A673" s="21">
        <v>46293</v>
      </c>
      <c r="B673" t="s">
        <v>102</v>
      </c>
      <c r="C673" s="8">
        <v>455</v>
      </c>
      <c r="D673" s="8">
        <v>917</v>
      </c>
      <c r="E673" s="8">
        <v>1.89</v>
      </c>
    </row>
    <row r="674" spans="1:5">
      <c r="A674" s="21">
        <v>46293</v>
      </c>
      <c r="B674" t="s">
        <v>102</v>
      </c>
      <c r="C674" s="8">
        <v>468</v>
      </c>
      <c r="D674" s="8">
        <v>941</v>
      </c>
      <c r="E674" s="8">
        <v>1.48</v>
      </c>
    </row>
    <row r="675" spans="1:5">
      <c r="A675" s="21">
        <v>46293</v>
      </c>
      <c r="B675" t="s">
        <v>102</v>
      </c>
      <c r="C675" s="8">
        <v>457</v>
      </c>
      <c r="D675" s="8">
        <v>952</v>
      </c>
      <c r="E675" s="8">
        <v>1.75</v>
      </c>
    </row>
    <row r="676" spans="1:5">
      <c r="A676" s="21">
        <v>46293</v>
      </c>
      <c r="B676" t="s">
        <v>102</v>
      </c>
      <c r="C676" s="8">
        <v>481</v>
      </c>
      <c r="D676" s="8">
        <v>960</v>
      </c>
      <c r="E676" s="8">
        <v>1.99</v>
      </c>
    </row>
    <row r="677" spans="1:5">
      <c r="A677" s="21">
        <v>46293</v>
      </c>
      <c r="B677" t="s">
        <v>103</v>
      </c>
      <c r="C677" s="8">
        <v>496</v>
      </c>
      <c r="D677" s="8">
        <v>975</v>
      </c>
      <c r="E677" s="8">
        <v>0.92</v>
      </c>
    </row>
    <row r="678" spans="1:5">
      <c r="A678" s="21">
        <v>46294</v>
      </c>
      <c r="B678" t="s">
        <v>103</v>
      </c>
      <c r="C678" s="8">
        <v>109</v>
      </c>
      <c r="D678" s="8">
        <v>315</v>
      </c>
      <c r="E678" s="8">
        <v>0.5</v>
      </c>
    </row>
    <row r="679" spans="1:5">
      <c r="A679" s="21">
        <v>46294</v>
      </c>
      <c r="B679" t="s">
        <v>103</v>
      </c>
      <c r="C679" s="8">
        <v>125</v>
      </c>
      <c r="D679" s="8">
        <v>325</v>
      </c>
      <c r="E679" s="8">
        <v>0.62</v>
      </c>
    </row>
    <row r="680" spans="1:5">
      <c r="A680" s="21">
        <v>46294</v>
      </c>
      <c r="B680" t="s">
        <v>103</v>
      </c>
      <c r="C680" s="8">
        <v>118</v>
      </c>
      <c r="D680" s="8">
        <v>332</v>
      </c>
      <c r="E680" s="8">
        <v>1.08</v>
      </c>
    </row>
    <row r="681" spans="1:5">
      <c r="A681" s="21">
        <v>46294</v>
      </c>
      <c r="B681" t="s">
        <v>103</v>
      </c>
      <c r="C681" s="8">
        <v>141</v>
      </c>
      <c r="D681" s="8">
        <v>351</v>
      </c>
      <c r="E681" s="8">
        <v>0.77</v>
      </c>
    </row>
    <row r="682" spans="1:5">
      <c r="A682" s="21">
        <v>46294</v>
      </c>
      <c r="B682" t="s">
        <v>103</v>
      </c>
      <c r="C682" s="8">
        <v>153</v>
      </c>
      <c r="D682" s="8">
        <v>351</v>
      </c>
      <c r="E682" s="8">
        <v>1.17</v>
      </c>
    </row>
    <row r="683" spans="1:5">
      <c r="A683" s="21">
        <v>46294</v>
      </c>
      <c r="B683" t="s">
        <v>103</v>
      </c>
      <c r="C683" s="8">
        <v>145</v>
      </c>
      <c r="D683" s="8">
        <v>405</v>
      </c>
      <c r="E683" s="8">
        <v>1.1499999999999999</v>
      </c>
    </row>
    <row r="684" spans="1:5">
      <c r="A684" s="21">
        <v>46294</v>
      </c>
      <c r="B684" t="s">
        <v>103</v>
      </c>
      <c r="C684" s="8">
        <v>168</v>
      </c>
      <c r="D684" s="8">
        <v>425</v>
      </c>
      <c r="E684" s="8">
        <v>0.85</v>
      </c>
    </row>
    <row r="685" spans="1:5">
      <c r="A685" s="21">
        <v>46294</v>
      </c>
      <c r="B685" t="s">
        <v>103</v>
      </c>
      <c r="C685" s="8">
        <v>160</v>
      </c>
      <c r="D685" s="8">
        <v>430</v>
      </c>
      <c r="E685" s="8">
        <v>0.72</v>
      </c>
    </row>
    <row r="686" spans="1:5">
      <c r="A686" s="21">
        <v>46294</v>
      </c>
      <c r="B686" t="s">
        <v>103</v>
      </c>
      <c r="C686" s="8">
        <v>183</v>
      </c>
      <c r="D686" s="8">
        <v>427</v>
      </c>
      <c r="E686" s="8">
        <v>1.05</v>
      </c>
    </row>
    <row r="687" spans="1:5">
      <c r="A687" s="21">
        <v>46294</v>
      </c>
      <c r="B687" t="s">
        <v>103</v>
      </c>
      <c r="C687" s="8">
        <v>196</v>
      </c>
      <c r="D687" s="8">
        <v>426</v>
      </c>
      <c r="E687" s="8">
        <v>0.81</v>
      </c>
    </row>
    <row r="688" spans="1:5">
      <c r="A688" s="21">
        <v>46294</v>
      </c>
      <c r="B688" t="s">
        <v>103</v>
      </c>
      <c r="C688" s="8">
        <v>185</v>
      </c>
      <c r="D688" s="8">
        <v>486</v>
      </c>
      <c r="E688" s="8">
        <v>1.1000000000000001</v>
      </c>
    </row>
    <row r="689" spans="1:5">
      <c r="A689" s="21">
        <v>46294</v>
      </c>
      <c r="B689" t="s">
        <v>103</v>
      </c>
      <c r="C689" s="8">
        <v>209</v>
      </c>
      <c r="D689" s="8">
        <v>494</v>
      </c>
      <c r="E689" s="8">
        <v>1.1100000000000001</v>
      </c>
    </row>
    <row r="690" spans="1:5">
      <c r="A690" s="21">
        <v>46294</v>
      </c>
      <c r="B690" t="s">
        <v>103</v>
      </c>
      <c r="C690" s="8">
        <v>221</v>
      </c>
      <c r="D690" s="8">
        <v>512</v>
      </c>
      <c r="E690" s="8">
        <v>1.08</v>
      </c>
    </row>
    <row r="691" spans="1:5">
      <c r="A691" s="21">
        <v>46294</v>
      </c>
      <c r="B691" t="s">
        <v>103</v>
      </c>
      <c r="C691" s="8">
        <v>213</v>
      </c>
      <c r="D691" s="8">
        <v>516</v>
      </c>
      <c r="E691" s="8">
        <v>1.08</v>
      </c>
    </row>
    <row r="692" spans="1:5">
      <c r="A692" s="21">
        <v>46294</v>
      </c>
      <c r="B692" t="s">
        <v>103</v>
      </c>
      <c r="C692" s="8">
        <v>237</v>
      </c>
      <c r="D692" s="8">
        <v>542</v>
      </c>
      <c r="E692" s="8">
        <v>0.98</v>
      </c>
    </row>
    <row r="693" spans="1:5">
      <c r="A693" s="21">
        <v>46294</v>
      </c>
      <c r="B693" t="s">
        <v>103</v>
      </c>
      <c r="C693" s="8">
        <v>230</v>
      </c>
      <c r="D693" s="8">
        <v>527</v>
      </c>
      <c r="E693" s="8">
        <v>1.07</v>
      </c>
    </row>
    <row r="694" spans="1:5">
      <c r="A694" s="21">
        <v>46294</v>
      </c>
      <c r="B694" t="s">
        <v>103</v>
      </c>
      <c r="C694" s="8">
        <v>253</v>
      </c>
      <c r="D694" s="8">
        <v>549</v>
      </c>
      <c r="E694" s="8">
        <v>1.1499999999999999</v>
      </c>
    </row>
    <row r="695" spans="1:5">
      <c r="A695" s="21">
        <v>46294</v>
      </c>
      <c r="B695" t="s">
        <v>103</v>
      </c>
      <c r="C695" s="8">
        <v>266</v>
      </c>
      <c r="D695" s="8">
        <v>588</v>
      </c>
      <c r="E695" s="8">
        <v>1.08</v>
      </c>
    </row>
    <row r="696" spans="1:5">
      <c r="A696" s="21">
        <v>46294</v>
      </c>
      <c r="B696" t="s">
        <v>103</v>
      </c>
      <c r="C696" s="8">
        <v>255</v>
      </c>
      <c r="D696" s="8">
        <v>575</v>
      </c>
      <c r="E696" s="8">
        <v>1.1100000000000001</v>
      </c>
    </row>
    <row r="697" spans="1:5">
      <c r="A697" s="21">
        <v>46294</v>
      </c>
      <c r="B697" t="s">
        <v>103</v>
      </c>
      <c r="C697" s="8">
        <v>279</v>
      </c>
      <c r="D697" s="8">
        <v>593</v>
      </c>
      <c r="E697" s="8">
        <v>1.05</v>
      </c>
    </row>
    <row r="698" spans="1:5">
      <c r="A698" s="21">
        <v>46294</v>
      </c>
      <c r="B698" t="s">
        <v>103</v>
      </c>
      <c r="C698" s="8">
        <v>291</v>
      </c>
      <c r="D698" s="8">
        <v>622</v>
      </c>
      <c r="E698" s="8">
        <v>1.1399999999999999</v>
      </c>
    </row>
    <row r="699" spans="1:5">
      <c r="A699" s="21">
        <v>46294</v>
      </c>
      <c r="B699" t="s">
        <v>103</v>
      </c>
      <c r="C699" s="8">
        <v>283</v>
      </c>
      <c r="D699" s="8">
        <v>651</v>
      </c>
      <c r="E699" s="8">
        <v>1.33</v>
      </c>
    </row>
    <row r="700" spans="1:5">
      <c r="A700" s="21">
        <v>46294</v>
      </c>
      <c r="B700" t="s">
        <v>103</v>
      </c>
      <c r="C700" s="8">
        <v>307</v>
      </c>
      <c r="D700" s="8">
        <v>666</v>
      </c>
      <c r="E700" s="8">
        <v>1.26</v>
      </c>
    </row>
    <row r="701" spans="1:5">
      <c r="A701" s="21">
        <v>46294</v>
      </c>
      <c r="B701" t="s">
        <v>103</v>
      </c>
      <c r="C701" s="8">
        <v>300</v>
      </c>
      <c r="D701" s="8">
        <v>650</v>
      </c>
      <c r="E701" s="8">
        <v>1.52</v>
      </c>
    </row>
    <row r="702" spans="1:5">
      <c r="A702" s="21">
        <v>46294</v>
      </c>
      <c r="B702" t="s">
        <v>103</v>
      </c>
      <c r="C702" s="8">
        <v>323</v>
      </c>
      <c r="D702" s="8">
        <v>688</v>
      </c>
      <c r="E702" s="8">
        <v>1.1200000000000001</v>
      </c>
    </row>
    <row r="703" spans="1:5">
      <c r="A703" s="21">
        <v>46294</v>
      </c>
      <c r="B703" t="s">
        <v>103</v>
      </c>
      <c r="C703" s="8">
        <v>336</v>
      </c>
      <c r="D703" s="8">
        <v>681</v>
      </c>
      <c r="E703" s="8">
        <v>1.1499999999999999</v>
      </c>
    </row>
    <row r="704" spans="1:5">
      <c r="A704" s="21">
        <v>46295</v>
      </c>
      <c r="B704" t="s">
        <v>103</v>
      </c>
      <c r="C704" s="8">
        <v>325</v>
      </c>
      <c r="D704" s="8">
        <v>716</v>
      </c>
      <c r="E704" s="8">
        <v>1.07</v>
      </c>
    </row>
    <row r="705" spans="1:5">
      <c r="A705" s="21">
        <v>46295</v>
      </c>
      <c r="B705" t="s">
        <v>103</v>
      </c>
      <c r="C705" s="8">
        <v>349</v>
      </c>
      <c r="D705" s="8">
        <v>713</v>
      </c>
      <c r="E705" s="8">
        <v>1.23</v>
      </c>
    </row>
    <row r="706" spans="1:5">
      <c r="A706" s="21">
        <v>46295</v>
      </c>
      <c r="B706" t="s">
        <v>103</v>
      </c>
      <c r="C706" s="8">
        <v>361</v>
      </c>
      <c r="D706" s="8">
        <v>721</v>
      </c>
      <c r="E706" s="8">
        <v>1.22</v>
      </c>
    </row>
    <row r="707" spans="1:5">
      <c r="A707" s="21">
        <v>46295</v>
      </c>
      <c r="B707" t="s">
        <v>103</v>
      </c>
      <c r="C707" s="8">
        <v>353</v>
      </c>
      <c r="D707" s="8">
        <v>772</v>
      </c>
      <c r="E707" s="8">
        <v>1.1399999999999999</v>
      </c>
    </row>
    <row r="708" spans="1:5">
      <c r="A708" s="21">
        <v>46295</v>
      </c>
      <c r="B708" t="s">
        <v>103</v>
      </c>
      <c r="C708" s="8">
        <v>377</v>
      </c>
      <c r="D708" s="8">
        <v>751</v>
      </c>
      <c r="E708" s="8">
        <v>1.29</v>
      </c>
    </row>
    <row r="709" spans="1:5">
      <c r="A709" s="21">
        <v>46295</v>
      </c>
      <c r="B709" t="s">
        <v>103</v>
      </c>
      <c r="C709" s="8">
        <v>370</v>
      </c>
      <c r="D709" s="8">
        <v>771</v>
      </c>
      <c r="E709" s="8">
        <v>1.41</v>
      </c>
    </row>
    <row r="710" spans="1:5">
      <c r="A710" s="21">
        <v>46295</v>
      </c>
      <c r="B710" t="s">
        <v>103</v>
      </c>
      <c r="C710" s="8">
        <v>393</v>
      </c>
      <c r="D710" s="8">
        <v>795</v>
      </c>
      <c r="E710" s="8">
        <v>1.38</v>
      </c>
    </row>
    <row r="711" spans="1:5">
      <c r="A711" s="21">
        <v>46295</v>
      </c>
      <c r="B711" t="s">
        <v>103</v>
      </c>
      <c r="C711" s="8">
        <v>406</v>
      </c>
      <c r="D711" s="8">
        <v>802</v>
      </c>
      <c r="E711" s="8">
        <v>1.46</v>
      </c>
    </row>
    <row r="712" spans="1:5">
      <c r="A712" s="21">
        <v>46295</v>
      </c>
      <c r="B712" t="s">
        <v>103</v>
      </c>
      <c r="C712" s="8">
        <v>395</v>
      </c>
      <c r="D712" s="8">
        <v>851</v>
      </c>
      <c r="E712" s="8">
        <v>1.56</v>
      </c>
    </row>
    <row r="713" spans="1:5">
      <c r="A713" s="21">
        <v>46295</v>
      </c>
      <c r="B713" t="s">
        <v>103</v>
      </c>
      <c r="C713" s="8">
        <v>419</v>
      </c>
      <c r="D713" s="8">
        <v>864</v>
      </c>
      <c r="E713" s="8">
        <v>1.44</v>
      </c>
    </row>
    <row r="714" spans="1:5">
      <c r="A714" s="21">
        <v>46295</v>
      </c>
      <c r="B714" t="s">
        <v>103</v>
      </c>
      <c r="C714" s="8">
        <v>431</v>
      </c>
      <c r="D714" s="8">
        <v>852</v>
      </c>
      <c r="E714" s="8">
        <v>1.45</v>
      </c>
    </row>
    <row r="715" spans="1:5">
      <c r="A715" s="21">
        <v>46295</v>
      </c>
      <c r="B715" t="s">
        <v>103</v>
      </c>
      <c r="C715" s="8">
        <v>423</v>
      </c>
      <c r="D715" s="8">
        <v>882</v>
      </c>
      <c r="E715" s="8">
        <v>1.42</v>
      </c>
    </row>
    <row r="716" spans="1:5">
      <c r="A716" s="21">
        <v>46295</v>
      </c>
      <c r="B716" t="s">
        <v>103</v>
      </c>
      <c r="C716" s="8">
        <v>447</v>
      </c>
      <c r="D716" s="8">
        <v>875</v>
      </c>
      <c r="E716" s="8">
        <v>1.5</v>
      </c>
    </row>
    <row r="717" spans="1:5">
      <c r="A717" s="21">
        <v>46295</v>
      </c>
      <c r="B717" t="s">
        <v>103</v>
      </c>
      <c r="C717" s="8">
        <v>440</v>
      </c>
      <c r="D717" s="8">
        <v>926</v>
      </c>
      <c r="E717" s="8">
        <v>1.3</v>
      </c>
    </row>
    <row r="718" spans="1:5">
      <c r="A718" s="21">
        <v>46295</v>
      </c>
      <c r="B718" t="s">
        <v>103</v>
      </c>
      <c r="C718" s="8">
        <v>463</v>
      </c>
      <c r="D718" s="8">
        <v>916</v>
      </c>
      <c r="E718" s="8">
        <v>1.39</v>
      </c>
    </row>
    <row r="719" spans="1:5">
      <c r="A719" s="21">
        <v>46295</v>
      </c>
      <c r="B719" t="s">
        <v>103</v>
      </c>
      <c r="C719" s="8">
        <v>476</v>
      </c>
      <c r="D719" s="8">
        <v>933</v>
      </c>
      <c r="E719" s="8">
        <v>1.32</v>
      </c>
    </row>
    <row r="720" spans="1:5">
      <c r="A720" s="21">
        <v>46295</v>
      </c>
      <c r="B720" t="s">
        <v>103</v>
      </c>
      <c r="C720" s="8">
        <v>465</v>
      </c>
      <c r="D720" s="8">
        <v>973</v>
      </c>
      <c r="E720" s="8">
        <v>1.24</v>
      </c>
    </row>
    <row r="721" spans="1:5">
      <c r="A721" s="21">
        <v>46295</v>
      </c>
      <c r="B721" t="s">
        <v>103</v>
      </c>
      <c r="C721" s="8">
        <v>489</v>
      </c>
      <c r="D721" s="8">
        <v>979</v>
      </c>
      <c r="E721" s="8">
        <v>1.74</v>
      </c>
    </row>
    <row r="722" spans="1:5">
      <c r="A722" s="21">
        <v>46295</v>
      </c>
      <c r="B722" t="s">
        <v>104</v>
      </c>
      <c r="C722" s="8">
        <v>499</v>
      </c>
      <c r="D722" s="8">
        <v>975</v>
      </c>
      <c r="E722" s="8">
        <v>1.18</v>
      </c>
    </row>
    <row r="723" spans="1:5">
      <c r="A723" s="21">
        <v>46295</v>
      </c>
      <c r="B723" t="s">
        <v>104</v>
      </c>
      <c r="C723" s="8">
        <v>112</v>
      </c>
      <c r="D723" s="8">
        <v>308</v>
      </c>
      <c r="E723" s="8">
        <v>1.22</v>
      </c>
    </row>
    <row r="724" spans="1:5">
      <c r="A724" s="21">
        <v>46295</v>
      </c>
      <c r="B724" t="s">
        <v>104</v>
      </c>
      <c r="C724" s="8">
        <v>128</v>
      </c>
      <c r="D724" s="8">
        <v>348</v>
      </c>
      <c r="E724" s="8">
        <v>1.02</v>
      </c>
    </row>
    <row r="725" spans="1:5">
      <c r="A725" s="21">
        <v>46295</v>
      </c>
      <c r="B725" t="s">
        <v>104</v>
      </c>
      <c r="C725" s="8">
        <v>121</v>
      </c>
      <c r="D725" s="8">
        <v>372</v>
      </c>
      <c r="E725" s="8">
        <v>1.17</v>
      </c>
    </row>
    <row r="726" spans="1:5">
      <c r="A726" s="21">
        <v>46295</v>
      </c>
      <c r="B726" t="s">
        <v>104</v>
      </c>
      <c r="C726" s="8">
        <v>144</v>
      </c>
      <c r="D726" s="8">
        <v>356</v>
      </c>
      <c r="E726" s="8">
        <v>0.96</v>
      </c>
    </row>
    <row r="727" spans="1:5">
      <c r="A727" s="21">
        <v>46295</v>
      </c>
      <c r="B727" t="s">
        <v>104</v>
      </c>
      <c r="C727" s="8">
        <v>156</v>
      </c>
      <c r="D727" s="8">
        <v>399</v>
      </c>
      <c r="E727" s="8">
        <v>1.22</v>
      </c>
    </row>
    <row r="728" spans="1:5">
      <c r="A728" s="21">
        <v>46295</v>
      </c>
      <c r="B728" t="s">
        <v>104</v>
      </c>
      <c r="C728" s="8">
        <v>148</v>
      </c>
      <c r="D728" s="8">
        <v>392</v>
      </c>
      <c r="E728" s="8">
        <v>1.49</v>
      </c>
    </row>
    <row r="729" spans="1:5">
      <c r="A729" s="21">
        <v>46295</v>
      </c>
      <c r="B729" t="s">
        <v>104</v>
      </c>
      <c r="C729" s="8">
        <v>171</v>
      </c>
      <c r="D729" s="8">
        <v>422</v>
      </c>
      <c r="E729" s="8">
        <v>1.42</v>
      </c>
    </row>
    <row r="730" spans="1:5">
      <c r="A730" s="21">
        <v>46267</v>
      </c>
      <c r="B730" t="s">
        <v>104</v>
      </c>
      <c r="C730" s="8">
        <v>163</v>
      </c>
      <c r="D730" s="8">
        <v>437</v>
      </c>
      <c r="E730" s="8">
        <v>1.35</v>
      </c>
    </row>
    <row r="731" spans="1:5">
      <c r="A731" s="21">
        <v>46267</v>
      </c>
      <c r="B731" t="s">
        <v>104</v>
      </c>
      <c r="C731" s="8">
        <v>186</v>
      </c>
      <c r="D731" s="8">
        <v>438</v>
      </c>
      <c r="E731" s="8">
        <v>1.43</v>
      </c>
    </row>
    <row r="732" spans="1:5">
      <c r="A732" s="21">
        <v>46267</v>
      </c>
      <c r="B732" t="s">
        <v>104</v>
      </c>
      <c r="C732" s="8">
        <v>199</v>
      </c>
      <c r="D732" s="8">
        <v>442</v>
      </c>
      <c r="E732" s="8">
        <v>1.42</v>
      </c>
    </row>
    <row r="733" spans="1:5">
      <c r="A733" s="21">
        <v>46267</v>
      </c>
      <c r="B733" t="s">
        <v>104</v>
      </c>
      <c r="C733" s="8">
        <v>188</v>
      </c>
      <c r="D733" s="8">
        <v>474</v>
      </c>
      <c r="E733" s="8">
        <v>1.34</v>
      </c>
    </row>
    <row r="734" spans="1:5">
      <c r="A734" s="21">
        <v>46267</v>
      </c>
      <c r="B734" t="s">
        <v>104</v>
      </c>
      <c r="C734" s="8">
        <v>212</v>
      </c>
      <c r="D734" s="8">
        <v>475</v>
      </c>
      <c r="E734" s="8">
        <v>1.72</v>
      </c>
    </row>
    <row r="735" spans="1:5">
      <c r="A735" s="21">
        <v>46267</v>
      </c>
      <c r="B735" t="s">
        <v>104</v>
      </c>
      <c r="C735" s="8">
        <v>224</v>
      </c>
      <c r="D735" s="8">
        <v>465</v>
      </c>
      <c r="E735" s="8">
        <v>1.44</v>
      </c>
    </row>
    <row r="736" spans="1:5">
      <c r="A736" s="21">
        <v>46267</v>
      </c>
      <c r="B736" t="s">
        <v>104</v>
      </c>
      <c r="C736" s="8">
        <v>216</v>
      </c>
      <c r="D736" s="8">
        <v>481</v>
      </c>
      <c r="E736" s="8">
        <v>1.74</v>
      </c>
    </row>
    <row r="737" spans="1:5">
      <c r="A737" s="21">
        <v>46267</v>
      </c>
      <c r="B737" t="s">
        <v>104</v>
      </c>
      <c r="C737" s="8">
        <v>240</v>
      </c>
      <c r="D737" s="8">
        <v>515</v>
      </c>
      <c r="E737" s="8">
        <v>1.53</v>
      </c>
    </row>
    <row r="738" spans="1:5">
      <c r="A738" s="21">
        <v>46267</v>
      </c>
      <c r="B738" t="s">
        <v>104</v>
      </c>
      <c r="C738" s="8">
        <v>233</v>
      </c>
      <c r="D738" s="8">
        <v>534</v>
      </c>
      <c r="E738" s="8">
        <v>1.55</v>
      </c>
    </row>
    <row r="739" spans="1:5">
      <c r="A739" s="21">
        <v>46267</v>
      </c>
      <c r="B739" t="s">
        <v>104</v>
      </c>
      <c r="C739" s="8">
        <v>256</v>
      </c>
      <c r="D739" s="8">
        <v>528</v>
      </c>
      <c r="E739" s="8">
        <v>1.63</v>
      </c>
    </row>
    <row r="740" spans="1:5">
      <c r="A740" s="21">
        <v>46267</v>
      </c>
      <c r="B740" t="s">
        <v>104</v>
      </c>
      <c r="C740" s="8">
        <v>269</v>
      </c>
      <c r="D740" s="8">
        <v>570</v>
      </c>
      <c r="E740" s="8">
        <v>1.77</v>
      </c>
    </row>
    <row r="741" spans="1:5">
      <c r="A741" s="21">
        <v>46267</v>
      </c>
      <c r="B741" t="s">
        <v>104</v>
      </c>
      <c r="C741" s="8">
        <v>258</v>
      </c>
      <c r="D741" s="8">
        <v>583</v>
      </c>
      <c r="E741" s="8">
        <v>1.95</v>
      </c>
    </row>
    <row r="742" spans="1:5">
      <c r="A742" s="21">
        <v>46267</v>
      </c>
      <c r="B742" t="s">
        <v>104</v>
      </c>
      <c r="C742" s="8">
        <v>282</v>
      </c>
      <c r="D742" s="8">
        <v>588</v>
      </c>
      <c r="E742" s="8">
        <v>1.87</v>
      </c>
    </row>
    <row r="743" spans="1:5">
      <c r="A743" s="21">
        <v>46267</v>
      </c>
      <c r="B743" t="s">
        <v>104</v>
      </c>
      <c r="C743" s="8">
        <v>294</v>
      </c>
      <c r="D743" s="8">
        <v>605</v>
      </c>
      <c r="E743" s="8">
        <v>1.69</v>
      </c>
    </row>
    <row r="744" spans="1:5">
      <c r="A744" s="21">
        <v>46267</v>
      </c>
      <c r="B744" t="s">
        <v>104</v>
      </c>
      <c r="C744" s="8">
        <v>286</v>
      </c>
      <c r="D744" s="8">
        <v>622</v>
      </c>
      <c r="E744" s="8">
        <v>1.76</v>
      </c>
    </row>
    <row r="745" spans="1:5">
      <c r="A745" s="21">
        <v>46267</v>
      </c>
      <c r="B745" t="s">
        <v>104</v>
      </c>
      <c r="C745" s="8">
        <v>310</v>
      </c>
      <c r="D745" s="8">
        <v>610</v>
      </c>
      <c r="E745" s="8">
        <v>1.9</v>
      </c>
    </row>
    <row r="746" spans="1:5">
      <c r="A746" s="21">
        <v>46267</v>
      </c>
      <c r="B746" t="s">
        <v>104</v>
      </c>
      <c r="C746" s="8">
        <v>303</v>
      </c>
      <c r="D746" s="8">
        <v>606</v>
      </c>
      <c r="E746" s="8">
        <v>1.98</v>
      </c>
    </row>
    <row r="747" spans="1:5">
      <c r="A747" s="21">
        <v>46267</v>
      </c>
      <c r="B747" t="s">
        <v>104</v>
      </c>
      <c r="C747" s="8">
        <v>326</v>
      </c>
      <c r="D747" s="8">
        <v>656</v>
      </c>
      <c r="E747" s="8">
        <v>2.12</v>
      </c>
    </row>
    <row r="748" spans="1:5">
      <c r="A748" s="21">
        <v>46267</v>
      </c>
      <c r="B748" t="s">
        <v>104</v>
      </c>
      <c r="C748" s="8">
        <v>339</v>
      </c>
      <c r="D748" s="8">
        <v>669</v>
      </c>
      <c r="E748" s="8">
        <v>1.94</v>
      </c>
    </row>
    <row r="749" spans="1:5">
      <c r="A749" s="21">
        <v>46267</v>
      </c>
      <c r="B749" t="s">
        <v>104</v>
      </c>
      <c r="C749" s="8">
        <v>328</v>
      </c>
      <c r="D749" s="8">
        <v>645</v>
      </c>
      <c r="E749" s="8">
        <v>2.0299999999999998</v>
      </c>
    </row>
    <row r="750" spans="1:5">
      <c r="A750" s="21">
        <v>46267</v>
      </c>
      <c r="B750" t="s">
        <v>104</v>
      </c>
      <c r="C750" s="8">
        <v>352</v>
      </c>
      <c r="D750" s="8">
        <v>692</v>
      </c>
      <c r="E750" s="8">
        <v>2.15</v>
      </c>
    </row>
    <row r="751" spans="1:5">
      <c r="A751" s="21">
        <v>46267</v>
      </c>
      <c r="B751" t="s">
        <v>104</v>
      </c>
      <c r="C751" s="8">
        <v>364</v>
      </c>
      <c r="D751" s="8">
        <v>693</v>
      </c>
      <c r="E751" s="8">
        <v>2.0699999999999998</v>
      </c>
    </row>
    <row r="752" spans="1:5">
      <c r="A752" s="21">
        <v>46267</v>
      </c>
      <c r="B752" t="s">
        <v>104</v>
      </c>
      <c r="C752" s="8">
        <v>356</v>
      </c>
      <c r="D752" s="8">
        <v>685</v>
      </c>
      <c r="E752" s="8">
        <v>2.37</v>
      </c>
    </row>
    <row r="753" spans="1:5">
      <c r="A753" s="21">
        <v>46267</v>
      </c>
      <c r="B753" t="s">
        <v>104</v>
      </c>
      <c r="C753" s="8">
        <v>380</v>
      </c>
      <c r="D753" s="8">
        <v>713</v>
      </c>
      <c r="E753" s="8">
        <v>2.3199999999999998</v>
      </c>
    </row>
    <row r="754" spans="1:5">
      <c r="A754" s="21">
        <v>46267</v>
      </c>
      <c r="B754" t="s">
        <v>104</v>
      </c>
      <c r="C754" s="8">
        <v>373</v>
      </c>
      <c r="D754" s="8">
        <v>739</v>
      </c>
      <c r="E754" s="8">
        <v>2.2000000000000002</v>
      </c>
    </row>
    <row r="755" spans="1:5">
      <c r="A755" s="21">
        <v>46267</v>
      </c>
      <c r="B755" t="s">
        <v>104</v>
      </c>
      <c r="C755" s="8">
        <v>396</v>
      </c>
      <c r="D755" s="8">
        <v>767</v>
      </c>
      <c r="E755" s="8">
        <v>2.37</v>
      </c>
    </row>
    <row r="756" spans="1:5">
      <c r="A756" s="21">
        <v>46266</v>
      </c>
      <c r="B756" t="s">
        <v>104</v>
      </c>
      <c r="C756" s="8">
        <v>409</v>
      </c>
      <c r="D756" s="8">
        <v>757</v>
      </c>
      <c r="E756" s="8">
        <v>2.2200000000000002</v>
      </c>
    </row>
    <row r="757" spans="1:5">
      <c r="A757" s="21">
        <v>46266</v>
      </c>
      <c r="B757" t="s">
        <v>104</v>
      </c>
      <c r="C757" s="8">
        <v>398</v>
      </c>
      <c r="D757" s="8">
        <v>781</v>
      </c>
      <c r="E757" s="8">
        <v>1.99</v>
      </c>
    </row>
    <row r="758" spans="1:5">
      <c r="A758" s="21">
        <v>46266</v>
      </c>
      <c r="B758" t="s">
        <v>104</v>
      </c>
      <c r="C758" s="8">
        <v>422</v>
      </c>
      <c r="D758" s="8">
        <v>782</v>
      </c>
      <c r="E758" s="8">
        <v>2.41</v>
      </c>
    </row>
    <row r="759" spans="1:5">
      <c r="A759" s="21">
        <v>46266</v>
      </c>
      <c r="B759" t="s">
        <v>104</v>
      </c>
      <c r="C759" s="8">
        <v>434</v>
      </c>
      <c r="D759" s="8">
        <v>787</v>
      </c>
      <c r="E759" s="8">
        <v>2.4</v>
      </c>
    </row>
    <row r="760" spans="1:5">
      <c r="A760" s="21">
        <v>46266</v>
      </c>
      <c r="B760" t="s">
        <v>104</v>
      </c>
      <c r="C760" s="8">
        <v>426</v>
      </c>
      <c r="D760" s="8">
        <v>826</v>
      </c>
      <c r="E760" s="8">
        <v>2.48</v>
      </c>
    </row>
    <row r="761" spans="1:5">
      <c r="A761" s="21">
        <v>46266</v>
      </c>
      <c r="B761" t="s">
        <v>104</v>
      </c>
      <c r="C761" s="8">
        <v>450</v>
      </c>
      <c r="D761" s="8">
        <v>813</v>
      </c>
      <c r="E761" s="8">
        <v>2.44</v>
      </c>
    </row>
    <row r="762" spans="1:5">
      <c r="A762" s="21">
        <v>46266</v>
      </c>
      <c r="B762" t="s">
        <v>104</v>
      </c>
      <c r="C762" s="8">
        <v>443</v>
      </c>
      <c r="D762" s="8">
        <v>835</v>
      </c>
      <c r="E762" s="8">
        <v>2.73</v>
      </c>
    </row>
    <row r="763" spans="1:5">
      <c r="A763" s="21">
        <v>46266</v>
      </c>
      <c r="B763" t="s">
        <v>104</v>
      </c>
      <c r="C763" s="8">
        <v>466</v>
      </c>
      <c r="D763" s="8">
        <v>832</v>
      </c>
      <c r="E763" s="8">
        <v>2.7</v>
      </c>
    </row>
    <row r="764" spans="1:5">
      <c r="A764" s="21">
        <v>46266</v>
      </c>
      <c r="B764" t="s">
        <v>104</v>
      </c>
      <c r="C764" s="8">
        <v>479</v>
      </c>
      <c r="D764" s="8">
        <v>862</v>
      </c>
      <c r="E764" s="8">
        <v>3</v>
      </c>
    </row>
    <row r="765" spans="1:5">
      <c r="A765" s="21">
        <v>46266</v>
      </c>
      <c r="B765" t="s">
        <v>104</v>
      </c>
      <c r="C765" s="8">
        <v>468</v>
      </c>
      <c r="D765" s="8">
        <v>895</v>
      </c>
      <c r="E765" s="8">
        <v>2.71</v>
      </c>
    </row>
    <row r="766" spans="1:5">
      <c r="A766" s="21">
        <v>46266</v>
      </c>
      <c r="B766" t="s">
        <v>104</v>
      </c>
      <c r="C766" s="8">
        <v>492</v>
      </c>
      <c r="D766" s="8">
        <v>881</v>
      </c>
      <c r="E766" s="8">
        <v>2.79</v>
      </c>
    </row>
    <row r="767" spans="1:5">
      <c r="A767" s="21">
        <v>46266</v>
      </c>
      <c r="B767" t="s">
        <v>105</v>
      </c>
      <c r="C767" s="8">
        <v>497</v>
      </c>
      <c r="D767" s="8">
        <v>891</v>
      </c>
      <c r="E767" s="8">
        <v>0.96</v>
      </c>
    </row>
    <row r="768" spans="1:5">
      <c r="A768" s="21">
        <v>46266</v>
      </c>
      <c r="B768" t="s">
        <v>105</v>
      </c>
      <c r="C768" s="8">
        <v>104</v>
      </c>
      <c r="D768" s="8">
        <v>326</v>
      </c>
      <c r="E768" s="8">
        <v>0.68</v>
      </c>
    </row>
    <row r="769" spans="1:5">
      <c r="A769" s="21">
        <v>46266</v>
      </c>
      <c r="B769" t="s">
        <v>105</v>
      </c>
      <c r="C769" s="8">
        <v>121</v>
      </c>
      <c r="D769" s="8">
        <v>344</v>
      </c>
      <c r="E769" s="8">
        <v>0.89</v>
      </c>
    </row>
    <row r="770" spans="1:5">
      <c r="A770" s="21">
        <v>46266</v>
      </c>
      <c r="B770" t="s">
        <v>105</v>
      </c>
      <c r="C770" s="8">
        <v>114</v>
      </c>
      <c r="D770" s="8">
        <v>385</v>
      </c>
      <c r="E770" s="8">
        <v>0.8</v>
      </c>
    </row>
    <row r="771" spans="1:5">
      <c r="A771" s="21">
        <v>46266</v>
      </c>
      <c r="B771" t="s">
        <v>105</v>
      </c>
      <c r="C771" s="8">
        <v>137</v>
      </c>
      <c r="D771" s="8">
        <v>374</v>
      </c>
      <c r="E771" s="8">
        <v>0.86</v>
      </c>
    </row>
    <row r="772" spans="1:5">
      <c r="A772" s="21">
        <v>46266</v>
      </c>
      <c r="B772" t="s">
        <v>105</v>
      </c>
      <c r="C772" s="8">
        <v>149</v>
      </c>
      <c r="D772" s="8">
        <v>400</v>
      </c>
      <c r="E772" s="8">
        <v>1.04</v>
      </c>
    </row>
    <row r="773" spans="1:5">
      <c r="A773" s="21">
        <v>46266</v>
      </c>
      <c r="B773" t="s">
        <v>105</v>
      </c>
      <c r="C773" s="8">
        <v>141</v>
      </c>
      <c r="D773" s="8">
        <v>430</v>
      </c>
      <c r="E773" s="8">
        <v>0.59</v>
      </c>
    </row>
    <row r="774" spans="1:5">
      <c r="A774" s="21">
        <v>46266</v>
      </c>
      <c r="B774" t="s">
        <v>105</v>
      </c>
      <c r="C774" s="8">
        <v>164</v>
      </c>
      <c r="D774" s="8">
        <v>418</v>
      </c>
      <c r="E774" s="8">
        <v>0.95</v>
      </c>
    </row>
    <row r="775" spans="1:5">
      <c r="A775" s="21">
        <v>46266</v>
      </c>
      <c r="B775" t="s">
        <v>105</v>
      </c>
      <c r="C775" s="8">
        <v>156</v>
      </c>
      <c r="D775" s="8">
        <v>434</v>
      </c>
      <c r="E775" s="8">
        <v>0.74</v>
      </c>
    </row>
    <row r="776" spans="1:5">
      <c r="A776" s="21">
        <v>46266</v>
      </c>
      <c r="B776" t="s">
        <v>105</v>
      </c>
      <c r="C776" s="8">
        <v>179</v>
      </c>
      <c r="D776" s="8">
        <v>441</v>
      </c>
      <c r="E776" s="8">
        <v>0.94</v>
      </c>
    </row>
    <row r="777" spans="1:5">
      <c r="A777" s="21">
        <v>46266</v>
      </c>
      <c r="B777" t="s">
        <v>105</v>
      </c>
      <c r="C777" s="8">
        <v>192</v>
      </c>
      <c r="D777" s="8">
        <v>464</v>
      </c>
      <c r="E777" s="8">
        <v>1.06</v>
      </c>
    </row>
    <row r="778" spans="1:5">
      <c r="A778" s="21">
        <v>46266</v>
      </c>
      <c r="B778" t="s">
        <v>105</v>
      </c>
      <c r="C778" s="8">
        <v>181</v>
      </c>
      <c r="D778" s="8">
        <v>490</v>
      </c>
      <c r="E778" s="8">
        <v>0.85</v>
      </c>
    </row>
    <row r="779" spans="1:5">
      <c r="A779" s="21">
        <v>46266</v>
      </c>
      <c r="B779" t="s">
        <v>105</v>
      </c>
      <c r="C779" s="8">
        <v>205</v>
      </c>
      <c r="D779" s="8">
        <v>477</v>
      </c>
      <c r="E779" s="8">
        <v>0.81</v>
      </c>
    </row>
    <row r="780" spans="1:5">
      <c r="A780" s="21">
        <v>46266</v>
      </c>
      <c r="B780" t="s">
        <v>105</v>
      </c>
      <c r="C780" s="8">
        <v>217</v>
      </c>
      <c r="D780" s="8">
        <v>505</v>
      </c>
      <c r="E780" s="8">
        <v>0.88</v>
      </c>
    </row>
    <row r="781" spans="1:5">
      <c r="A781" s="21">
        <v>46266</v>
      </c>
      <c r="B781" t="s">
        <v>105</v>
      </c>
      <c r="C781" s="8">
        <v>209</v>
      </c>
      <c r="D781" s="8">
        <v>526</v>
      </c>
      <c r="E781" s="8">
        <v>1.04</v>
      </c>
    </row>
    <row r="782" spans="1:5">
      <c r="A782" s="21">
        <v>46259</v>
      </c>
      <c r="B782" t="s">
        <v>105</v>
      </c>
      <c r="C782" s="8">
        <v>233</v>
      </c>
      <c r="D782" s="8">
        <v>544</v>
      </c>
      <c r="E782" s="8">
        <v>1.2</v>
      </c>
    </row>
    <row r="783" spans="1:5">
      <c r="A783" s="21">
        <v>46259</v>
      </c>
      <c r="B783" t="s">
        <v>105</v>
      </c>
      <c r="C783" s="8">
        <v>226</v>
      </c>
      <c r="D783" s="8">
        <v>524</v>
      </c>
      <c r="E783" s="8">
        <v>1.1399999999999999</v>
      </c>
    </row>
    <row r="784" spans="1:5">
      <c r="A784" s="21">
        <v>46259</v>
      </c>
      <c r="B784" t="s">
        <v>105</v>
      </c>
      <c r="C784" s="8">
        <v>249</v>
      </c>
      <c r="D784" s="8">
        <v>550</v>
      </c>
      <c r="E784" s="8">
        <v>1</v>
      </c>
    </row>
    <row r="785" spans="1:5">
      <c r="A785" s="21">
        <v>46259</v>
      </c>
      <c r="B785" t="s">
        <v>105</v>
      </c>
      <c r="C785" s="8">
        <v>262</v>
      </c>
      <c r="D785" s="8">
        <v>573</v>
      </c>
      <c r="E785" s="8">
        <v>1.04</v>
      </c>
    </row>
    <row r="786" spans="1:5">
      <c r="A786" s="21">
        <v>46259</v>
      </c>
      <c r="B786" t="s">
        <v>105</v>
      </c>
      <c r="C786" s="8">
        <v>251</v>
      </c>
      <c r="D786" s="8">
        <v>589</v>
      </c>
      <c r="E786" s="8">
        <v>1.1299999999999999</v>
      </c>
    </row>
    <row r="787" spans="1:5">
      <c r="A787" s="21">
        <v>46259</v>
      </c>
      <c r="B787" t="s">
        <v>105</v>
      </c>
      <c r="C787" s="8">
        <v>275</v>
      </c>
      <c r="D787" s="8">
        <v>604</v>
      </c>
      <c r="E787" s="8">
        <v>1.36</v>
      </c>
    </row>
    <row r="788" spans="1:5">
      <c r="A788" s="21">
        <v>46259</v>
      </c>
      <c r="B788" t="s">
        <v>105</v>
      </c>
      <c r="C788" s="8">
        <v>287</v>
      </c>
      <c r="D788" s="8">
        <v>601</v>
      </c>
      <c r="E788" s="8">
        <v>0.94</v>
      </c>
    </row>
    <row r="789" spans="1:5">
      <c r="A789" s="21">
        <v>46259</v>
      </c>
      <c r="B789" t="s">
        <v>105</v>
      </c>
      <c r="C789" s="8">
        <v>279</v>
      </c>
      <c r="D789" s="8">
        <v>598</v>
      </c>
      <c r="E789" s="8">
        <v>1.24</v>
      </c>
    </row>
    <row r="790" spans="1:5">
      <c r="A790" s="21">
        <v>46259</v>
      </c>
      <c r="B790" t="s">
        <v>105</v>
      </c>
      <c r="C790" s="8">
        <v>303</v>
      </c>
      <c r="D790" s="8">
        <v>634</v>
      </c>
      <c r="E790" s="8">
        <v>1.44</v>
      </c>
    </row>
    <row r="791" spans="1:5">
      <c r="A791" s="21">
        <v>46259</v>
      </c>
      <c r="B791" t="s">
        <v>105</v>
      </c>
      <c r="C791" s="8">
        <v>296</v>
      </c>
      <c r="D791" s="8">
        <v>626</v>
      </c>
      <c r="E791" s="8">
        <v>0.97</v>
      </c>
    </row>
    <row r="792" spans="1:5">
      <c r="A792" s="21">
        <v>46259</v>
      </c>
      <c r="B792" t="s">
        <v>105</v>
      </c>
      <c r="C792" s="8">
        <v>319</v>
      </c>
      <c r="D792" s="8">
        <v>660</v>
      </c>
      <c r="E792" s="8">
        <v>1.23</v>
      </c>
    </row>
    <row r="793" spans="1:5">
      <c r="A793" s="21">
        <v>46259</v>
      </c>
      <c r="B793" t="s">
        <v>105</v>
      </c>
      <c r="C793" s="8">
        <v>332</v>
      </c>
      <c r="D793" s="8">
        <v>683</v>
      </c>
      <c r="E793" s="8">
        <v>1.2</v>
      </c>
    </row>
    <row r="794" spans="1:5">
      <c r="A794" s="21">
        <v>46259</v>
      </c>
      <c r="B794" t="s">
        <v>105</v>
      </c>
      <c r="C794" s="8">
        <v>321</v>
      </c>
      <c r="D794" s="8">
        <v>670</v>
      </c>
      <c r="E794" s="8">
        <v>1.17</v>
      </c>
    </row>
    <row r="795" spans="1:5">
      <c r="A795" s="21">
        <v>46259</v>
      </c>
      <c r="B795" t="s">
        <v>105</v>
      </c>
      <c r="C795" s="8">
        <v>345</v>
      </c>
      <c r="D795" s="8">
        <v>704</v>
      </c>
      <c r="E795" s="8">
        <v>1.05</v>
      </c>
    </row>
    <row r="796" spans="1:5">
      <c r="A796" s="21">
        <v>46259</v>
      </c>
      <c r="B796" t="s">
        <v>105</v>
      </c>
      <c r="C796" s="8">
        <v>357</v>
      </c>
      <c r="D796" s="8">
        <v>729</v>
      </c>
      <c r="E796" s="8">
        <v>1.28</v>
      </c>
    </row>
    <row r="797" spans="1:5">
      <c r="A797" s="21">
        <v>46259</v>
      </c>
      <c r="B797" t="s">
        <v>105</v>
      </c>
      <c r="C797" s="8">
        <v>349</v>
      </c>
      <c r="D797" s="8">
        <v>728</v>
      </c>
      <c r="E797" s="8">
        <v>1.24</v>
      </c>
    </row>
    <row r="798" spans="1:5">
      <c r="A798" s="21">
        <v>46259</v>
      </c>
      <c r="B798" t="s">
        <v>105</v>
      </c>
      <c r="C798" s="8">
        <v>373</v>
      </c>
      <c r="D798" s="8">
        <v>748</v>
      </c>
      <c r="E798" s="8">
        <v>1.31</v>
      </c>
    </row>
    <row r="799" spans="1:5">
      <c r="A799" s="21">
        <v>46259</v>
      </c>
      <c r="B799" t="s">
        <v>105</v>
      </c>
      <c r="C799" s="8">
        <v>366</v>
      </c>
      <c r="D799" s="8">
        <v>728</v>
      </c>
      <c r="E799" s="8">
        <v>1.22</v>
      </c>
    </row>
    <row r="800" spans="1:5">
      <c r="A800" s="21">
        <v>46259</v>
      </c>
      <c r="B800" t="s">
        <v>105</v>
      </c>
      <c r="C800" s="8">
        <v>389</v>
      </c>
      <c r="D800" s="8">
        <v>779</v>
      </c>
      <c r="E800" s="8">
        <v>1.24</v>
      </c>
    </row>
    <row r="801" spans="1:5">
      <c r="A801" s="21">
        <v>46259</v>
      </c>
      <c r="B801" t="s">
        <v>105</v>
      </c>
      <c r="C801" s="8">
        <v>402</v>
      </c>
      <c r="D801" s="8">
        <v>789</v>
      </c>
      <c r="E801" s="8">
        <v>1.19</v>
      </c>
    </row>
    <row r="802" spans="1:5">
      <c r="A802" s="21">
        <v>46259</v>
      </c>
      <c r="B802" t="s">
        <v>105</v>
      </c>
      <c r="C802" s="8">
        <v>391</v>
      </c>
      <c r="D802" s="8">
        <v>811</v>
      </c>
      <c r="E802" s="8">
        <v>1.57</v>
      </c>
    </row>
    <row r="803" spans="1:5">
      <c r="A803" s="21">
        <v>46259</v>
      </c>
      <c r="B803" t="s">
        <v>105</v>
      </c>
      <c r="C803" s="8">
        <v>415</v>
      </c>
      <c r="D803" s="8">
        <v>785</v>
      </c>
      <c r="E803" s="8">
        <v>1.36</v>
      </c>
    </row>
    <row r="804" spans="1:5">
      <c r="A804" s="21">
        <v>46259</v>
      </c>
      <c r="B804" t="s">
        <v>105</v>
      </c>
      <c r="C804" s="8">
        <v>427</v>
      </c>
      <c r="D804" s="8">
        <v>828</v>
      </c>
      <c r="E804" s="8">
        <v>1.68</v>
      </c>
    </row>
    <row r="805" spans="1:5">
      <c r="A805" s="21">
        <v>46259</v>
      </c>
      <c r="B805" t="s">
        <v>105</v>
      </c>
      <c r="C805" s="8">
        <v>419</v>
      </c>
      <c r="D805" s="8">
        <v>832</v>
      </c>
      <c r="E805" s="8">
        <v>1.36</v>
      </c>
    </row>
    <row r="806" spans="1:5">
      <c r="A806" s="21">
        <v>46259</v>
      </c>
      <c r="B806" t="s">
        <v>105</v>
      </c>
      <c r="C806" s="8">
        <v>443</v>
      </c>
      <c r="D806" s="8">
        <v>855</v>
      </c>
      <c r="E806" s="8">
        <v>1.42</v>
      </c>
    </row>
    <row r="807" spans="1:5">
      <c r="A807" s="21">
        <v>46259</v>
      </c>
      <c r="B807" t="s">
        <v>105</v>
      </c>
      <c r="C807" s="8">
        <v>436</v>
      </c>
      <c r="D807" s="8">
        <v>836</v>
      </c>
      <c r="E807" s="8">
        <v>1.31</v>
      </c>
    </row>
    <row r="808" spans="1:5">
      <c r="A808" s="21">
        <v>46260</v>
      </c>
      <c r="B808" t="s">
        <v>105</v>
      </c>
      <c r="C808" s="8">
        <v>459</v>
      </c>
      <c r="D808" s="8">
        <v>852</v>
      </c>
      <c r="E808" s="8">
        <v>1.33</v>
      </c>
    </row>
    <row r="809" spans="1:5">
      <c r="A809" s="21">
        <v>46260</v>
      </c>
      <c r="B809" t="s">
        <v>105</v>
      </c>
      <c r="C809" s="8">
        <v>472</v>
      </c>
      <c r="D809" s="8">
        <v>900</v>
      </c>
      <c r="E809" s="8">
        <v>1.49</v>
      </c>
    </row>
    <row r="810" spans="1:5">
      <c r="A810" s="21">
        <v>46260</v>
      </c>
      <c r="B810" t="s">
        <v>105</v>
      </c>
      <c r="C810" s="8">
        <v>461</v>
      </c>
      <c r="D810" s="8">
        <v>913</v>
      </c>
      <c r="E810" s="8">
        <v>1.47</v>
      </c>
    </row>
    <row r="811" spans="1:5">
      <c r="A811" s="21">
        <v>46260</v>
      </c>
      <c r="B811" t="s">
        <v>105</v>
      </c>
      <c r="C811" s="8">
        <v>485</v>
      </c>
      <c r="D811" s="8">
        <v>903</v>
      </c>
      <c r="E811" s="8">
        <v>1.77</v>
      </c>
    </row>
    <row r="812" spans="1:5">
      <c r="A812" s="21">
        <v>46260</v>
      </c>
      <c r="B812" t="s">
        <v>106</v>
      </c>
      <c r="C812" s="8">
        <v>498</v>
      </c>
      <c r="D812" s="8">
        <v>902</v>
      </c>
      <c r="E812" s="8">
        <v>0.86</v>
      </c>
    </row>
    <row r="813" spans="1:5">
      <c r="A813" s="21">
        <v>46260</v>
      </c>
      <c r="B813" t="s">
        <v>106</v>
      </c>
      <c r="C813" s="8">
        <v>117</v>
      </c>
      <c r="D813" s="8">
        <v>319</v>
      </c>
      <c r="E813" s="8">
        <v>0.65</v>
      </c>
    </row>
    <row r="814" spans="1:5">
      <c r="A814" s="21">
        <v>46260</v>
      </c>
      <c r="B814" t="s">
        <v>106</v>
      </c>
      <c r="C814" s="8">
        <v>133</v>
      </c>
      <c r="D814" s="8">
        <v>302</v>
      </c>
      <c r="E814" s="8">
        <v>0.95</v>
      </c>
    </row>
    <row r="815" spans="1:5">
      <c r="A815" s="21">
        <v>46260</v>
      </c>
      <c r="B815" t="s">
        <v>106</v>
      </c>
      <c r="C815" s="8">
        <v>126</v>
      </c>
      <c r="D815" s="8">
        <v>313</v>
      </c>
      <c r="E815" s="8">
        <v>0.87</v>
      </c>
    </row>
    <row r="816" spans="1:5">
      <c r="A816" s="21">
        <v>46260</v>
      </c>
      <c r="B816" t="s">
        <v>106</v>
      </c>
      <c r="C816" s="8">
        <v>149</v>
      </c>
      <c r="D816" s="8">
        <v>338</v>
      </c>
      <c r="E816" s="8">
        <v>1.04</v>
      </c>
    </row>
    <row r="817" spans="1:5">
      <c r="A817" s="21">
        <v>46260</v>
      </c>
      <c r="B817" t="s">
        <v>106</v>
      </c>
      <c r="C817" s="8">
        <v>161</v>
      </c>
      <c r="D817" s="8">
        <v>349</v>
      </c>
      <c r="E817" s="8">
        <v>1.0900000000000001</v>
      </c>
    </row>
    <row r="818" spans="1:5">
      <c r="A818" s="21">
        <v>46260</v>
      </c>
      <c r="B818" t="s">
        <v>106</v>
      </c>
      <c r="C818" s="8">
        <v>153</v>
      </c>
      <c r="D818" s="8">
        <v>392</v>
      </c>
      <c r="E818" s="8">
        <v>1.18</v>
      </c>
    </row>
    <row r="819" spans="1:5">
      <c r="A819" s="21">
        <v>46260</v>
      </c>
      <c r="B819" t="s">
        <v>106</v>
      </c>
      <c r="C819" s="8">
        <v>176</v>
      </c>
      <c r="D819" s="8">
        <v>406</v>
      </c>
      <c r="E819" s="8">
        <v>1.07</v>
      </c>
    </row>
    <row r="820" spans="1:5">
      <c r="A820" s="21">
        <v>46260</v>
      </c>
      <c r="B820" t="s">
        <v>106</v>
      </c>
      <c r="C820" s="8">
        <v>168</v>
      </c>
      <c r="D820" s="8">
        <v>394</v>
      </c>
      <c r="E820" s="8">
        <v>0.97</v>
      </c>
    </row>
    <row r="821" spans="1:5">
      <c r="A821" s="21">
        <v>46260</v>
      </c>
      <c r="B821" t="s">
        <v>106</v>
      </c>
      <c r="C821" s="8">
        <v>191</v>
      </c>
      <c r="D821" s="8">
        <v>408</v>
      </c>
      <c r="E821" s="8">
        <v>1.1100000000000001</v>
      </c>
    </row>
    <row r="822" spans="1:5">
      <c r="A822" s="21">
        <v>46260</v>
      </c>
      <c r="B822" t="s">
        <v>106</v>
      </c>
      <c r="C822" s="8">
        <v>204</v>
      </c>
      <c r="D822" s="8">
        <v>436</v>
      </c>
      <c r="E822" s="8">
        <v>1.05</v>
      </c>
    </row>
    <row r="823" spans="1:5">
      <c r="A823" s="21">
        <v>46260</v>
      </c>
      <c r="B823" t="s">
        <v>106</v>
      </c>
      <c r="C823" s="8">
        <v>193</v>
      </c>
      <c r="D823" s="8">
        <v>466</v>
      </c>
      <c r="E823" s="8">
        <v>1.27</v>
      </c>
    </row>
    <row r="824" spans="1:5">
      <c r="A824" s="21">
        <v>46260</v>
      </c>
      <c r="B824" t="s">
        <v>106</v>
      </c>
      <c r="C824" s="8">
        <v>217</v>
      </c>
      <c r="D824" s="8">
        <v>468</v>
      </c>
      <c r="E824" s="8">
        <v>1</v>
      </c>
    </row>
    <row r="825" spans="1:5">
      <c r="A825" s="21">
        <v>46260</v>
      </c>
      <c r="B825" t="s">
        <v>106</v>
      </c>
      <c r="C825" s="8">
        <v>229</v>
      </c>
      <c r="D825" s="8">
        <v>481</v>
      </c>
      <c r="E825" s="8">
        <v>1.37</v>
      </c>
    </row>
    <row r="826" spans="1:5">
      <c r="A826" s="21">
        <v>46260</v>
      </c>
      <c r="B826" t="s">
        <v>106</v>
      </c>
      <c r="C826" s="8">
        <v>221</v>
      </c>
      <c r="D826" s="8">
        <v>474</v>
      </c>
      <c r="E826" s="8">
        <v>1</v>
      </c>
    </row>
    <row r="827" spans="1:5">
      <c r="A827" s="21">
        <v>46260</v>
      </c>
      <c r="B827" t="s">
        <v>106</v>
      </c>
      <c r="C827" s="8">
        <v>245</v>
      </c>
      <c r="D827" s="8">
        <v>498</v>
      </c>
      <c r="E827" s="8">
        <v>1.17</v>
      </c>
    </row>
    <row r="828" spans="1:5">
      <c r="A828" s="21">
        <v>46260</v>
      </c>
      <c r="B828" t="s">
        <v>106</v>
      </c>
      <c r="C828" s="8">
        <v>238</v>
      </c>
      <c r="D828" s="8">
        <v>532</v>
      </c>
      <c r="E828" s="8">
        <v>1.05</v>
      </c>
    </row>
    <row r="829" spans="1:5">
      <c r="A829" s="21">
        <v>46260</v>
      </c>
      <c r="B829" t="s">
        <v>106</v>
      </c>
      <c r="C829" s="8">
        <v>261</v>
      </c>
      <c r="D829" s="8">
        <v>518</v>
      </c>
      <c r="E829" s="8">
        <v>1.0900000000000001</v>
      </c>
    </row>
    <row r="830" spans="1:5">
      <c r="A830" s="21">
        <v>46260</v>
      </c>
      <c r="B830" t="s">
        <v>106</v>
      </c>
      <c r="C830" s="8">
        <v>274</v>
      </c>
      <c r="D830" s="8">
        <v>542</v>
      </c>
      <c r="E830" s="8">
        <v>1.31</v>
      </c>
    </row>
    <row r="831" spans="1:5">
      <c r="A831" s="21">
        <v>46260</v>
      </c>
      <c r="B831" t="s">
        <v>106</v>
      </c>
      <c r="C831" s="8">
        <v>263</v>
      </c>
      <c r="D831" s="8">
        <v>554</v>
      </c>
      <c r="E831" s="8">
        <v>1.25</v>
      </c>
    </row>
    <row r="832" spans="1:5">
      <c r="A832" s="21">
        <v>46260</v>
      </c>
      <c r="B832" t="s">
        <v>106</v>
      </c>
      <c r="C832" s="8">
        <v>287</v>
      </c>
      <c r="D832" s="8">
        <v>564</v>
      </c>
      <c r="E832" s="8">
        <v>1.3</v>
      </c>
    </row>
    <row r="833" spans="1:5">
      <c r="A833" s="21">
        <v>46260</v>
      </c>
      <c r="B833" t="s">
        <v>106</v>
      </c>
      <c r="C833" s="8">
        <v>299</v>
      </c>
      <c r="D833" s="8">
        <v>584</v>
      </c>
      <c r="E833" s="8">
        <v>1.41</v>
      </c>
    </row>
    <row r="834" spans="1:5">
      <c r="A834" s="21">
        <v>46261</v>
      </c>
      <c r="B834" t="s">
        <v>106</v>
      </c>
      <c r="C834" s="8">
        <v>291</v>
      </c>
      <c r="D834" s="8">
        <v>610</v>
      </c>
      <c r="E834" s="8">
        <v>1.28</v>
      </c>
    </row>
    <row r="835" spans="1:5">
      <c r="A835" s="21">
        <v>46261</v>
      </c>
      <c r="B835" t="s">
        <v>106</v>
      </c>
      <c r="C835" s="8">
        <v>315</v>
      </c>
      <c r="D835" s="8">
        <v>620</v>
      </c>
      <c r="E835" s="8">
        <v>1.38</v>
      </c>
    </row>
    <row r="836" spans="1:5">
      <c r="A836" s="21">
        <v>46261</v>
      </c>
      <c r="B836" t="s">
        <v>106</v>
      </c>
      <c r="C836" s="8">
        <v>308</v>
      </c>
      <c r="D836" s="8">
        <v>644</v>
      </c>
      <c r="E836" s="8">
        <v>1.51</v>
      </c>
    </row>
    <row r="837" spans="1:5">
      <c r="A837" s="21">
        <v>46261</v>
      </c>
      <c r="B837" t="s">
        <v>106</v>
      </c>
      <c r="C837" s="8">
        <v>331</v>
      </c>
      <c r="D837" s="8">
        <v>639</v>
      </c>
      <c r="E837" s="8">
        <v>1.48</v>
      </c>
    </row>
    <row r="838" spans="1:5">
      <c r="A838" s="21">
        <v>46261</v>
      </c>
      <c r="B838" t="s">
        <v>106</v>
      </c>
      <c r="C838" s="8">
        <v>344</v>
      </c>
      <c r="D838" s="8">
        <v>676</v>
      </c>
      <c r="E838" s="8">
        <v>1.47</v>
      </c>
    </row>
    <row r="839" spans="1:5">
      <c r="A839" s="21">
        <v>46261</v>
      </c>
      <c r="B839" t="s">
        <v>106</v>
      </c>
      <c r="C839" s="8">
        <v>333</v>
      </c>
      <c r="D839" s="8">
        <v>680</v>
      </c>
      <c r="E839" s="8">
        <v>1.28</v>
      </c>
    </row>
    <row r="840" spans="1:5">
      <c r="A840" s="21">
        <v>46261</v>
      </c>
      <c r="B840" t="s">
        <v>106</v>
      </c>
      <c r="C840" s="8">
        <v>357</v>
      </c>
      <c r="D840" s="8">
        <v>680</v>
      </c>
      <c r="E840" s="8">
        <v>1.25</v>
      </c>
    </row>
    <row r="841" spans="1:5">
      <c r="A841" s="21">
        <v>46261</v>
      </c>
      <c r="B841" t="s">
        <v>106</v>
      </c>
      <c r="C841" s="8">
        <v>369</v>
      </c>
      <c r="D841" s="8">
        <v>719</v>
      </c>
      <c r="E841" s="8">
        <v>1.55</v>
      </c>
    </row>
    <row r="842" spans="1:5">
      <c r="A842" s="21">
        <v>46261</v>
      </c>
      <c r="B842" t="s">
        <v>106</v>
      </c>
      <c r="C842" s="8">
        <v>361</v>
      </c>
      <c r="D842" s="8">
        <v>708</v>
      </c>
      <c r="E842" s="8">
        <v>1.46</v>
      </c>
    </row>
    <row r="843" spans="1:5">
      <c r="A843" s="21">
        <v>46261</v>
      </c>
      <c r="B843" t="s">
        <v>106</v>
      </c>
      <c r="C843" s="8">
        <v>385</v>
      </c>
      <c r="D843" s="8">
        <v>720</v>
      </c>
      <c r="E843" s="8">
        <v>1.44</v>
      </c>
    </row>
    <row r="844" spans="1:5">
      <c r="A844" s="21">
        <v>46261</v>
      </c>
      <c r="B844" t="s">
        <v>106</v>
      </c>
      <c r="C844" s="8">
        <v>378</v>
      </c>
      <c r="D844" s="8">
        <v>772</v>
      </c>
      <c r="E844" s="8">
        <v>1.83</v>
      </c>
    </row>
    <row r="845" spans="1:5">
      <c r="A845" s="21">
        <v>46261</v>
      </c>
      <c r="B845" t="s">
        <v>106</v>
      </c>
      <c r="C845" s="8">
        <v>401</v>
      </c>
      <c r="D845" s="8">
        <v>780</v>
      </c>
      <c r="E845" s="8">
        <v>1.64</v>
      </c>
    </row>
    <row r="846" spans="1:5">
      <c r="A846" s="21">
        <v>46261</v>
      </c>
      <c r="B846" t="s">
        <v>106</v>
      </c>
      <c r="C846" s="8">
        <v>414</v>
      </c>
      <c r="D846" s="8">
        <v>770</v>
      </c>
      <c r="E846" s="8">
        <v>1.73</v>
      </c>
    </row>
    <row r="847" spans="1:5">
      <c r="A847" s="21">
        <v>46261</v>
      </c>
      <c r="B847" t="s">
        <v>106</v>
      </c>
      <c r="C847" s="8">
        <v>403</v>
      </c>
      <c r="D847" s="8">
        <v>809</v>
      </c>
      <c r="E847" s="8">
        <v>1.73</v>
      </c>
    </row>
    <row r="848" spans="1:5">
      <c r="A848" s="21">
        <v>46261</v>
      </c>
      <c r="B848" t="s">
        <v>106</v>
      </c>
      <c r="C848" s="8">
        <v>427</v>
      </c>
      <c r="D848" s="8">
        <v>802</v>
      </c>
      <c r="E848" s="8">
        <v>1.94</v>
      </c>
    </row>
    <row r="849" spans="1:5">
      <c r="A849" s="21">
        <v>46261</v>
      </c>
      <c r="B849" t="s">
        <v>106</v>
      </c>
      <c r="C849" s="8">
        <v>439</v>
      </c>
      <c r="D849" s="8">
        <v>805</v>
      </c>
      <c r="E849" s="8">
        <v>1.44</v>
      </c>
    </row>
    <row r="850" spans="1:5">
      <c r="A850" s="21">
        <v>46261</v>
      </c>
      <c r="B850" t="s">
        <v>106</v>
      </c>
      <c r="C850" s="8">
        <v>431</v>
      </c>
      <c r="D850" s="8">
        <v>840</v>
      </c>
      <c r="E850" s="8">
        <v>1.62</v>
      </c>
    </row>
    <row r="851" spans="1:5">
      <c r="A851" s="21">
        <v>46261</v>
      </c>
      <c r="B851" t="s">
        <v>106</v>
      </c>
      <c r="C851" s="8">
        <v>455</v>
      </c>
      <c r="D851" s="8">
        <v>853</v>
      </c>
      <c r="E851" s="8">
        <v>1.58</v>
      </c>
    </row>
    <row r="852" spans="1:5">
      <c r="A852" s="21">
        <v>46261</v>
      </c>
      <c r="B852" t="s">
        <v>106</v>
      </c>
      <c r="C852" s="8">
        <v>448</v>
      </c>
      <c r="D852" s="8">
        <v>846</v>
      </c>
      <c r="E852" s="8">
        <v>1.96</v>
      </c>
    </row>
    <row r="853" spans="1:5">
      <c r="A853" s="21">
        <v>46261</v>
      </c>
      <c r="B853" t="s">
        <v>106</v>
      </c>
      <c r="C853" s="8">
        <v>471</v>
      </c>
      <c r="D853" s="8">
        <v>903</v>
      </c>
      <c r="E853" s="8">
        <v>1.83</v>
      </c>
    </row>
    <row r="854" spans="1:5">
      <c r="A854" s="21">
        <v>46261</v>
      </c>
      <c r="B854" t="s">
        <v>106</v>
      </c>
      <c r="C854" s="8">
        <v>484</v>
      </c>
      <c r="D854" s="8">
        <v>898</v>
      </c>
      <c r="E854" s="8">
        <v>1.69</v>
      </c>
    </row>
    <row r="855" spans="1:5">
      <c r="A855" s="21">
        <v>46261</v>
      </c>
      <c r="B855" t="s">
        <v>106</v>
      </c>
      <c r="C855" s="8">
        <v>473</v>
      </c>
      <c r="D855" s="8">
        <v>901</v>
      </c>
      <c r="E855" s="8">
        <v>1.53</v>
      </c>
    </row>
    <row r="856" spans="1:5">
      <c r="A856" s="21">
        <v>46261</v>
      </c>
      <c r="B856" t="s">
        <v>106</v>
      </c>
      <c r="C856" s="8">
        <v>497</v>
      </c>
      <c r="D856" s="8">
        <v>944</v>
      </c>
      <c r="E856" s="8">
        <v>1.93</v>
      </c>
    </row>
    <row r="857" spans="1:5">
      <c r="A857" s="21">
        <v>46261</v>
      </c>
      <c r="B857" t="s">
        <v>83</v>
      </c>
      <c r="C857" s="8">
        <v>500</v>
      </c>
      <c r="D857" s="8">
        <v>940</v>
      </c>
      <c r="E857" s="8">
        <v>0.86</v>
      </c>
    </row>
    <row r="858" spans="1:5">
      <c r="A858" s="21">
        <v>46261</v>
      </c>
      <c r="B858" t="s">
        <v>83</v>
      </c>
      <c r="C858" s="8">
        <v>98</v>
      </c>
      <c r="D858" s="8">
        <v>301</v>
      </c>
      <c r="E858" s="8">
        <v>1.1499999999999999</v>
      </c>
    </row>
    <row r="859" spans="1:5">
      <c r="A859" s="21">
        <v>46261</v>
      </c>
      <c r="B859" t="s">
        <v>83</v>
      </c>
      <c r="C859" s="8">
        <v>115</v>
      </c>
      <c r="D859" s="8">
        <v>311</v>
      </c>
      <c r="E859" s="8">
        <v>1.17</v>
      </c>
    </row>
    <row r="860" spans="1:5">
      <c r="A860" s="21">
        <v>46262</v>
      </c>
      <c r="B860" t="s">
        <v>83</v>
      </c>
      <c r="C860" s="8">
        <v>108</v>
      </c>
      <c r="D860" s="8">
        <v>366</v>
      </c>
      <c r="E860" s="8">
        <v>0.99</v>
      </c>
    </row>
    <row r="861" spans="1:5">
      <c r="A861" s="21">
        <v>46262</v>
      </c>
      <c r="B861" t="s">
        <v>83</v>
      </c>
      <c r="C861" s="8">
        <v>131</v>
      </c>
      <c r="D861" s="8">
        <v>345</v>
      </c>
      <c r="E861" s="8">
        <v>1.2</v>
      </c>
    </row>
    <row r="862" spans="1:5">
      <c r="A862" s="21">
        <v>46262</v>
      </c>
      <c r="B862" t="s">
        <v>83</v>
      </c>
      <c r="C862" s="8">
        <v>143</v>
      </c>
      <c r="D862" s="8">
        <v>395</v>
      </c>
      <c r="E862" s="8">
        <v>0.91</v>
      </c>
    </row>
    <row r="863" spans="1:5">
      <c r="A863" s="21">
        <v>46262</v>
      </c>
      <c r="B863" t="s">
        <v>83</v>
      </c>
      <c r="C863" s="8">
        <v>135</v>
      </c>
      <c r="D863" s="8">
        <v>371</v>
      </c>
      <c r="E863" s="8">
        <v>1.31</v>
      </c>
    </row>
    <row r="864" spans="1:5">
      <c r="A864" s="21">
        <v>46262</v>
      </c>
      <c r="B864" t="s">
        <v>83</v>
      </c>
      <c r="C864" s="8">
        <v>158</v>
      </c>
      <c r="D864" s="8">
        <v>420</v>
      </c>
      <c r="E864" s="8">
        <v>1.36</v>
      </c>
    </row>
    <row r="865" spans="1:5">
      <c r="A865" s="21">
        <v>46262</v>
      </c>
      <c r="B865" t="s">
        <v>83</v>
      </c>
      <c r="C865" s="8">
        <v>150</v>
      </c>
      <c r="D865" s="8">
        <v>424</v>
      </c>
      <c r="E865" s="8">
        <v>1.45</v>
      </c>
    </row>
    <row r="866" spans="1:5">
      <c r="A866" s="21">
        <v>46262</v>
      </c>
      <c r="B866" t="s">
        <v>83</v>
      </c>
      <c r="C866" s="8">
        <v>173</v>
      </c>
      <c r="D866" s="8">
        <v>425</v>
      </c>
      <c r="E866" s="8">
        <v>1.36</v>
      </c>
    </row>
    <row r="867" spans="1:5">
      <c r="A867" s="21">
        <v>46262</v>
      </c>
      <c r="B867" t="s">
        <v>83</v>
      </c>
      <c r="C867" s="8">
        <v>186</v>
      </c>
      <c r="D867" s="8">
        <v>456</v>
      </c>
      <c r="E867" s="8">
        <v>1.25</v>
      </c>
    </row>
    <row r="868" spans="1:5">
      <c r="A868" s="21">
        <v>46262</v>
      </c>
      <c r="B868" t="s">
        <v>83</v>
      </c>
      <c r="C868" s="8">
        <v>175</v>
      </c>
      <c r="D868" s="8">
        <v>463</v>
      </c>
      <c r="E868" s="8">
        <v>1.47</v>
      </c>
    </row>
    <row r="869" spans="1:5">
      <c r="A869" s="21">
        <v>46262</v>
      </c>
      <c r="B869" t="s">
        <v>83</v>
      </c>
      <c r="C869" s="8">
        <v>199</v>
      </c>
      <c r="D869" s="8">
        <v>493</v>
      </c>
      <c r="E869" s="8">
        <v>1.68</v>
      </c>
    </row>
    <row r="870" spans="1:5">
      <c r="A870" s="21">
        <v>46262</v>
      </c>
      <c r="B870" t="s">
        <v>83</v>
      </c>
      <c r="C870" s="8">
        <v>211</v>
      </c>
      <c r="D870" s="8">
        <v>512</v>
      </c>
      <c r="E870" s="8">
        <v>1.63</v>
      </c>
    </row>
    <row r="871" spans="1:5">
      <c r="A871" s="21">
        <v>46262</v>
      </c>
      <c r="B871" t="s">
        <v>83</v>
      </c>
      <c r="C871" s="8">
        <v>203</v>
      </c>
      <c r="D871" s="8">
        <v>499</v>
      </c>
      <c r="E871" s="8">
        <v>1.61</v>
      </c>
    </row>
    <row r="872" spans="1:5">
      <c r="A872" s="21">
        <v>46262</v>
      </c>
      <c r="B872" t="s">
        <v>83</v>
      </c>
      <c r="C872" s="8">
        <v>227</v>
      </c>
      <c r="D872" s="8">
        <v>517</v>
      </c>
      <c r="E872" s="8">
        <v>1.73</v>
      </c>
    </row>
    <row r="873" spans="1:5">
      <c r="A873" s="21">
        <v>46262</v>
      </c>
      <c r="B873" t="s">
        <v>83</v>
      </c>
      <c r="C873" s="8">
        <v>220</v>
      </c>
      <c r="D873" s="8">
        <v>549</v>
      </c>
      <c r="E873" s="8">
        <v>1.53</v>
      </c>
    </row>
    <row r="874" spans="1:5">
      <c r="A874" s="21">
        <v>46262</v>
      </c>
      <c r="B874" t="s">
        <v>83</v>
      </c>
      <c r="C874" s="8">
        <v>243</v>
      </c>
      <c r="D874" s="8">
        <v>540</v>
      </c>
      <c r="E874" s="8">
        <v>1.63</v>
      </c>
    </row>
    <row r="875" spans="1:5">
      <c r="A875" s="21">
        <v>46262</v>
      </c>
      <c r="B875" t="s">
        <v>83</v>
      </c>
      <c r="C875" s="8">
        <v>256</v>
      </c>
      <c r="D875" s="8">
        <v>573</v>
      </c>
      <c r="E875" s="8">
        <v>1.69</v>
      </c>
    </row>
    <row r="876" spans="1:5">
      <c r="A876" s="21">
        <v>46262</v>
      </c>
      <c r="B876" t="s">
        <v>83</v>
      </c>
      <c r="C876" s="8">
        <v>245</v>
      </c>
      <c r="D876" s="8">
        <v>602</v>
      </c>
      <c r="E876" s="8">
        <v>1.63</v>
      </c>
    </row>
    <row r="877" spans="1:5">
      <c r="A877" s="21">
        <v>46262</v>
      </c>
      <c r="B877" t="s">
        <v>83</v>
      </c>
      <c r="C877" s="8">
        <v>269</v>
      </c>
      <c r="D877" s="8">
        <v>608</v>
      </c>
      <c r="E877" s="8">
        <v>1.99</v>
      </c>
    </row>
    <row r="878" spans="1:5">
      <c r="A878" s="21">
        <v>46262</v>
      </c>
      <c r="B878" t="s">
        <v>83</v>
      </c>
      <c r="C878" s="8">
        <v>281</v>
      </c>
      <c r="D878" s="8">
        <v>612</v>
      </c>
      <c r="E878" s="8">
        <v>1.76</v>
      </c>
    </row>
    <row r="879" spans="1:5">
      <c r="A879" s="21">
        <v>46262</v>
      </c>
      <c r="B879" t="s">
        <v>83</v>
      </c>
      <c r="C879" s="8">
        <v>273</v>
      </c>
      <c r="D879" s="8">
        <v>644</v>
      </c>
      <c r="E879" s="8">
        <v>2.2999999999999998</v>
      </c>
    </row>
    <row r="880" spans="1:5">
      <c r="A880" s="21">
        <v>46262</v>
      </c>
      <c r="B880" t="s">
        <v>83</v>
      </c>
      <c r="C880" s="8">
        <v>297</v>
      </c>
      <c r="D880" s="8">
        <v>640</v>
      </c>
      <c r="E880" s="8">
        <v>1.79</v>
      </c>
    </row>
    <row r="881" spans="1:5">
      <c r="A881" s="21">
        <v>46262</v>
      </c>
      <c r="B881" t="s">
        <v>83</v>
      </c>
      <c r="C881" s="8">
        <v>290</v>
      </c>
      <c r="D881" s="8">
        <v>643</v>
      </c>
      <c r="E881" s="8">
        <v>1.74</v>
      </c>
    </row>
    <row r="882" spans="1:5">
      <c r="A882" s="21">
        <v>46262</v>
      </c>
      <c r="B882" t="s">
        <v>83</v>
      </c>
      <c r="C882" s="8">
        <v>313</v>
      </c>
      <c r="D882" s="8">
        <v>672</v>
      </c>
      <c r="E882" s="8">
        <v>1.89</v>
      </c>
    </row>
    <row r="883" spans="1:5">
      <c r="A883" s="21">
        <v>46262</v>
      </c>
      <c r="B883" t="s">
        <v>83</v>
      </c>
      <c r="C883" s="8">
        <v>326</v>
      </c>
      <c r="D883" s="8">
        <v>665</v>
      </c>
      <c r="E883" s="8">
        <v>2.1800000000000002</v>
      </c>
    </row>
    <row r="884" spans="1:5">
      <c r="A884" s="21">
        <v>46262</v>
      </c>
      <c r="B884" t="s">
        <v>83</v>
      </c>
      <c r="C884" s="8">
        <v>315</v>
      </c>
      <c r="D884" s="8">
        <v>693</v>
      </c>
      <c r="E884" s="8">
        <v>1.88</v>
      </c>
    </row>
    <row r="885" spans="1:5">
      <c r="A885" s="21">
        <v>46262</v>
      </c>
      <c r="B885" t="s">
        <v>83</v>
      </c>
      <c r="C885" s="8">
        <v>339</v>
      </c>
      <c r="D885" s="8">
        <v>729</v>
      </c>
      <c r="E885" s="8">
        <v>2.2400000000000002</v>
      </c>
    </row>
    <row r="886" spans="1:5">
      <c r="A886" s="21">
        <v>46263</v>
      </c>
      <c r="B886" t="s">
        <v>83</v>
      </c>
      <c r="C886" s="8">
        <v>351</v>
      </c>
      <c r="D886" s="8">
        <v>730</v>
      </c>
      <c r="E886" s="8">
        <v>2.13</v>
      </c>
    </row>
    <row r="887" spans="1:5">
      <c r="A887" s="21">
        <v>46263</v>
      </c>
      <c r="B887" t="s">
        <v>83</v>
      </c>
      <c r="C887" s="8">
        <v>343</v>
      </c>
      <c r="D887" s="8">
        <v>735</v>
      </c>
      <c r="E887" s="8">
        <v>2.09</v>
      </c>
    </row>
    <row r="888" spans="1:5">
      <c r="A888" s="21">
        <v>46263</v>
      </c>
      <c r="B888" t="s">
        <v>83</v>
      </c>
      <c r="C888" s="8">
        <v>367</v>
      </c>
      <c r="D888" s="8">
        <v>732</v>
      </c>
      <c r="E888" s="8">
        <v>2.17</v>
      </c>
    </row>
    <row r="889" spans="1:5">
      <c r="A889" s="21">
        <v>46263</v>
      </c>
      <c r="B889" t="s">
        <v>83</v>
      </c>
      <c r="C889" s="8">
        <v>360</v>
      </c>
      <c r="D889" s="8">
        <v>761</v>
      </c>
      <c r="E889" s="8">
        <v>2.08</v>
      </c>
    </row>
    <row r="890" spans="1:5">
      <c r="A890" s="21">
        <v>46263</v>
      </c>
      <c r="B890" t="s">
        <v>83</v>
      </c>
      <c r="C890" s="8">
        <v>383</v>
      </c>
      <c r="D890" s="8">
        <v>774</v>
      </c>
      <c r="E890" s="8">
        <v>1.96</v>
      </c>
    </row>
    <row r="891" spans="1:5">
      <c r="A891" s="21">
        <v>46263</v>
      </c>
      <c r="B891" t="s">
        <v>83</v>
      </c>
      <c r="C891" s="8">
        <v>396</v>
      </c>
      <c r="D891" s="8">
        <v>803</v>
      </c>
      <c r="E891" s="8">
        <v>2.33</v>
      </c>
    </row>
    <row r="892" spans="1:5">
      <c r="A892" s="21">
        <v>46263</v>
      </c>
      <c r="B892" t="s">
        <v>83</v>
      </c>
      <c r="C892" s="8">
        <v>385</v>
      </c>
      <c r="D892" s="8">
        <v>813</v>
      </c>
      <c r="E892" s="8">
        <v>2.2000000000000002</v>
      </c>
    </row>
    <row r="893" spans="1:5">
      <c r="A893" s="21">
        <v>46263</v>
      </c>
      <c r="B893" t="s">
        <v>83</v>
      </c>
      <c r="C893" s="8">
        <v>409</v>
      </c>
      <c r="D893" s="8">
        <v>829</v>
      </c>
      <c r="E893" s="8">
        <v>2.4700000000000002</v>
      </c>
    </row>
    <row r="894" spans="1:5">
      <c r="A894" s="21">
        <v>46263</v>
      </c>
      <c r="B894" t="s">
        <v>83</v>
      </c>
      <c r="C894" s="8">
        <v>421</v>
      </c>
      <c r="D894" s="8">
        <v>864</v>
      </c>
      <c r="E894" s="8">
        <v>2.79</v>
      </c>
    </row>
    <row r="895" spans="1:5">
      <c r="A895" s="21">
        <v>46263</v>
      </c>
      <c r="B895" t="s">
        <v>83</v>
      </c>
      <c r="C895" s="8">
        <v>413</v>
      </c>
      <c r="D895" s="8">
        <v>840</v>
      </c>
      <c r="E895" s="8">
        <v>2.23</v>
      </c>
    </row>
    <row r="896" spans="1:5">
      <c r="A896" s="21">
        <v>46263</v>
      </c>
      <c r="B896" t="s">
        <v>83</v>
      </c>
      <c r="C896" s="8">
        <v>437</v>
      </c>
      <c r="D896" s="8">
        <v>881</v>
      </c>
      <c r="E896" s="8">
        <v>2.48</v>
      </c>
    </row>
    <row r="897" spans="1:5">
      <c r="A897" s="21">
        <v>46263</v>
      </c>
      <c r="B897" t="s">
        <v>83</v>
      </c>
      <c r="C897" s="8">
        <v>430</v>
      </c>
      <c r="D897" s="8">
        <v>887</v>
      </c>
      <c r="E897" s="8">
        <v>2.5099999999999998</v>
      </c>
    </row>
    <row r="898" spans="1:5">
      <c r="A898" s="21">
        <v>46263</v>
      </c>
      <c r="B898" t="s">
        <v>83</v>
      </c>
      <c r="C898" s="8">
        <v>453</v>
      </c>
      <c r="D898" s="8">
        <v>892</v>
      </c>
      <c r="E898" s="8">
        <v>2.46</v>
      </c>
    </row>
    <row r="899" spans="1:5">
      <c r="A899" s="21">
        <v>46263</v>
      </c>
      <c r="B899" t="s">
        <v>83</v>
      </c>
      <c r="C899" s="8">
        <v>466</v>
      </c>
      <c r="D899" s="8">
        <v>920</v>
      </c>
      <c r="E899" s="8">
        <v>2.5</v>
      </c>
    </row>
    <row r="900" spans="1:5">
      <c r="A900" s="21">
        <v>46263</v>
      </c>
      <c r="B900" t="s">
        <v>83</v>
      </c>
      <c r="C900" s="8">
        <v>455</v>
      </c>
      <c r="D900" s="8">
        <v>921</v>
      </c>
      <c r="E900" s="8">
        <v>2.4300000000000002</v>
      </c>
    </row>
    <row r="901" spans="1:5">
      <c r="A901" s="21">
        <v>46263</v>
      </c>
      <c r="B901" t="s">
        <v>83</v>
      </c>
      <c r="C901" s="8">
        <v>479</v>
      </c>
      <c r="D901" s="8">
        <v>957</v>
      </c>
      <c r="E901" s="8">
        <v>2.35</v>
      </c>
    </row>
    <row r="902" spans="1:5">
      <c r="A902" s="21">
        <v>46263</v>
      </c>
      <c r="B902" t="s">
        <v>84</v>
      </c>
      <c r="C902" s="8">
        <v>495</v>
      </c>
      <c r="D902" s="8">
        <v>939</v>
      </c>
      <c r="E902" s="8">
        <v>1.31</v>
      </c>
    </row>
    <row r="903" spans="1:5">
      <c r="A903" s="21">
        <v>46263</v>
      </c>
      <c r="B903" t="s">
        <v>84</v>
      </c>
      <c r="C903" s="8">
        <v>118</v>
      </c>
      <c r="D903" s="8">
        <v>337</v>
      </c>
      <c r="E903" s="8">
        <v>1.06</v>
      </c>
    </row>
    <row r="904" spans="1:5">
      <c r="A904" s="21">
        <v>46263</v>
      </c>
      <c r="B904" t="s">
        <v>84</v>
      </c>
      <c r="C904" s="8">
        <v>134</v>
      </c>
      <c r="D904" s="8">
        <v>357</v>
      </c>
      <c r="E904" s="8">
        <v>1.28</v>
      </c>
    </row>
    <row r="905" spans="1:5">
      <c r="A905" s="21">
        <v>46263</v>
      </c>
      <c r="B905" t="s">
        <v>84</v>
      </c>
      <c r="C905" s="8">
        <v>127</v>
      </c>
      <c r="D905" s="8">
        <v>374</v>
      </c>
      <c r="E905" s="8">
        <v>1.33</v>
      </c>
    </row>
    <row r="906" spans="1:5">
      <c r="A906" s="21">
        <v>46263</v>
      </c>
      <c r="B906" t="s">
        <v>84</v>
      </c>
      <c r="C906" s="8">
        <v>150</v>
      </c>
      <c r="D906" s="8">
        <v>394</v>
      </c>
      <c r="E906" s="8">
        <v>0.97</v>
      </c>
    </row>
    <row r="907" spans="1:5">
      <c r="A907" s="21">
        <v>46263</v>
      </c>
      <c r="B907" t="s">
        <v>84</v>
      </c>
      <c r="C907" s="8">
        <v>162</v>
      </c>
      <c r="D907" s="8">
        <v>410</v>
      </c>
      <c r="E907" s="8">
        <v>1.0900000000000001</v>
      </c>
    </row>
    <row r="908" spans="1:5">
      <c r="A908" s="21">
        <v>46263</v>
      </c>
      <c r="B908" t="s">
        <v>84</v>
      </c>
      <c r="C908" s="8">
        <v>154</v>
      </c>
      <c r="D908" s="8">
        <v>408</v>
      </c>
      <c r="E908" s="8">
        <v>1.1000000000000001</v>
      </c>
    </row>
    <row r="909" spans="1:5">
      <c r="A909" s="21">
        <v>46263</v>
      </c>
      <c r="B909" t="s">
        <v>84</v>
      </c>
      <c r="C909" s="8">
        <v>177</v>
      </c>
      <c r="D909" s="8">
        <v>405</v>
      </c>
      <c r="E909" s="8">
        <v>1.17</v>
      </c>
    </row>
    <row r="910" spans="1:5">
      <c r="A910" s="21">
        <v>46263</v>
      </c>
      <c r="B910" t="s">
        <v>84</v>
      </c>
      <c r="C910" s="8">
        <v>169</v>
      </c>
      <c r="D910" s="8">
        <v>424</v>
      </c>
      <c r="E910" s="8">
        <v>1.31</v>
      </c>
    </row>
    <row r="911" spans="1:5">
      <c r="A911" s="21">
        <v>46263</v>
      </c>
      <c r="B911" t="s">
        <v>84</v>
      </c>
      <c r="C911" s="8">
        <v>192</v>
      </c>
      <c r="D911" s="8">
        <v>441</v>
      </c>
      <c r="E911" s="8">
        <v>1.26</v>
      </c>
    </row>
    <row r="912" spans="1:5">
      <c r="A912" s="21">
        <v>46264</v>
      </c>
      <c r="B912" t="s">
        <v>84</v>
      </c>
      <c r="C912" s="8">
        <v>205</v>
      </c>
      <c r="D912" s="8">
        <v>482</v>
      </c>
      <c r="E912" s="8">
        <v>1.32</v>
      </c>
    </row>
    <row r="913" spans="1:5">
      <c r="A913" s="21">
        <v>46264</v>
      </c>
      <c r="B913" t="s">
        <v>84</v>
      </c>
      <c r="C913" s="8">
        <v>194</v>
      </c>
      <c r="D913" s="8">
        <v>496</v>
      </c>
      <c r="E913" s="8">
        <v>1.35</v>
      </c>
    </row>
    <row r="914" spans="1:5">
      <c r="A914" s="21">
        <v>46264</v>
      </c>
      <c r="B914" t="s">
        <v>84</v>
      </c>
      <c r="C914" s="8">
        <v>218</v>
      </c>
      <c r="D914" s="8">
        <v>482</v>
      </c>
      <c r="E914" s="8">
        <v>1.34</v>
      </c>
    </row>
    <row r="915" spans="1:5">
      <c r="A915" s="21">
        <v>46264</v>
      </c>
      <c r="B915" t="s">
        <v>84</v>
      </c>
      <c r="C915" s="8">
        <v>230</v>
      </c>
      <c r="D915" s="8">
        <v>532</v>
      </c>
      <c r="E915" s="8">
        <v>1.28</v>
      </c>
    </row>
    <row r="916" spans="1:5">
      <c r="A916" s="21">
        <v>46264</v>
      </c>
      <c r="B916" t="s">
        <v>84</v>
      </c>
      <c r="C916" s="8">
        <v>222</v>
      </c>
      <c r="D916" s="8">
        <v>508</v>
      </c>
      <c r="E916" s="8">
        <v>1.52</v>
      </c>
    </row>
    <row r="917" spans="1:5">
      <c r="A917" s="21">
        <v>46264</v>
      </c>
      <c r="B917" t="s">
        <v>84</v>
      </c>
      <c r="C917" s="8">
        <v>246</v>
      </c>
      <c r="D917" s="8">
        <v>561</v>
      </c>
      <c r="E917" s="8">
        <v>1.78</v>
      </c>
    </row>
    <row r="918" spans="1:5">
      <c r="A918" s="21">
        <v>46264</v>
      </c>
      <c r="B918" t="s">
        <v>84</v>
      </c>
      <c r="C918" s="8">
        <v>239</v>
      </c>
      <c r="D918" s="8">
        <v>547</v>
      </c>
      <c r="E918" s="8">
        <v>1.31</v>
      </c>
    </row>
    <row r="919" spans="1:5">
      <c r="A919" s="21">
        <v>46264</v>
      </c>
      <c r="B919" t="s">
        <v>84</v>
      </c>
      <c r="C919" s="8">
        <v>262</v>
      </c>
      <c r="D919" s="8">
        <v>566</v>
      </c>
      <c r="E919" s="8">
        <v>1.63</v>
      </c>
    </row>
    <row r="920" spans="1:5">
      <c r="A920" s="21">
        <v>46264</v>
      </c>
      <c r="B920" t="s">
        <v>84</v>
      </c>
      <c r="C920" s="8">
        <v>275</v>
      </c>
      <c r="D920" s="8">
        <v>582</v>
      </c>
      <c r="E920" s="8">
        <v>1.44</v>
      </c>
    </row>
    <row r="921" spans="1:5">
      <c r="A921" s="21">
        <v>46264</v>
      </c>
      <c r="B921" t="s">
        <v>84</v>
      </c>
      <c r="C921" s="8">
        <v>264</v>
      </c>
      <c r="D921" s="8">
        <v>604</v>
      </c>
      <c r="E921" s="8">
        <v>1.65</v>
      </c>
    </row>
    <row r="922" spans="1:5">
      <c r="A922" s="21">
        <v>46264</v>
      </c>
      <c r="B922" t="s">
        <v>84</v>
      </c>
      <c r="C922" s="8">
        <v>288</v>
      </c>
      <c r="D922" s="8">
        <v>623</v>
      </c>
      <c r="E922" s="8">
        <v>1.49</v>
      </c>
    </row>
    <row r="923" spans="1:5">
      <c r="A923" s="21">
        <v>46264</v>
      </c>
      <c r="B923" t="s">
        <v>84</v>
      </c>
      <c r="C923" s="8">
        <v>300</v>
      </c>
      <c r="D923" s="8">
        <v>639</v>
      </c>
      <c r="E923" s="8">
        <v>1.74</v>
      </c>
    </row>
    <row r="924" spans="1:5">
      <c r="A924" s="21">
        <v>46264</v>
      </c>
      <c r="B924" t="s">
        <v>84</v>
      </c>
      <c r="C924" s="8">
        <v>292</v>
      </c>
      <c r="D924" s="8">
        <v>645</v>
      </c>
      <c r="E924" s="8">
        <v>1.73</v>
      </c>
    </row>
    <row r="925" spans="1:5">
      <c r="A925" s="21">
        <v>46264</v>
      </c>
      <c r="B925" t="s">
        <v>84</v>
      </c>
      <c r="C925" s="8">
        <v>316</v>
      </c>
      <c r="D925" s="8">
        <v>649</v>
      </c>
      <c r="E925" s="8">
        <v>1.82</v>
      </c>
    </row>
    <row r="926" spans="1:5">
      <c r="A926" s="21">
        <v>46264</v>
      </c>
      <c r="B926" t="s">
        <v>84</v>
      </c>
      <c r="C926" s="8">
        <v>309</v>
      </c>
      <c r="D926" s="8">
        <v>671</v>
      </c>
      <c r="E926" s="8">
        <v>1.93</v>
      </c>
    </row>
    <row r="927" spans="1:5">
      <c r="A927" s="21">
        <v>46264</v>
      </c>
      <c r="B927" t="s">
        <v>84</v>
      </c>
      <c r="C927" s="8">
        <v>332</v>
      </c>
      <c r="D927" s="8">
        <v>673</v>
      </c>
      <c r="E927" s="8">
        <v>1.54</v>
      </c>
    </row>
    <row r="928" spans="1:5">
      <c r="A928" s="21">
        <v>46264</v>
      </c>
      <c r="B928" t="s">
        <v>84</v>
      </c>
      <c r="C928" s="8">
        <v>345</v>
      </c>
      <c r="D928" s="8">
        <v>720</v>
      </c>
      <c r="E928" s="8">
        <v>1.68</v>
      </c>
    </row>
    <row r="929" spans="1:5">
      <c r="A929" s="21">
        <v>46264</v>
      </c>
      <c r="B929" t="s">
        <v>84</v>
      </c>
      <c r="C929" s="8">
        <v>334</v>
      </c>
      <c r="D929" s="8">
        <v>731</v>
      </c>
      <c r="E929" s="8">
        <v>1.87</v>
      </c>
    </row>
    <row r="930" spans="1:5">
      <c r="A930" s="21">
        <v>46264</v>
      </c>
      <c r="B930" t="s">
        <v>84</v>
      </c>
      <c r="C930" s="8">
        <v>358</v>
      </c>
      <c r="D930" s="8">
        <v>715</v>
      </c>
      <c r="E930" s="8">
        <v>1.94</v>
      </c>
    </row>
    <row r="931" spans="1:5">
      <c r="A931" s="21">
        <v>46264</v>
      </c>
      <c r="B931" t="s">
        <v>84</v>
      </c>
      <c r="C931" s="8">
        <v>370</v>
      </c>
      <c r="D931" s="8">
        <v>750</v>
      </c>
      <c r="E931" s="8">
        <v>1.74</v>
      </c>
    </row>
    <row r="932" spans="1:5">
      <c r="A932" s="21">
        <v>46264</v>
      </c>
      <c r="B932" t="s">
        <v>84</v>
      </c>
      <c r="C932" s="8">
        <v>362</v>
      </c>
      <c r="D932" s="8">
        <v>737</v>
      </c>
      <c r="E932" s="8">
        <v>1.92</v>
      </c>
    </row>
    <row r="933" spans="1:5">
      <c r="A933" s="21">
        <v>46264</v>
      </c>
      <c r="B933" t="s">
        <v>84</v>
      </c>
      <c r="C933" s="8">
        <v>386</v>
      </c>
      <c r="D933" s="8">
        <v>777</v>
      </c>
      <c r="E933" s="8">
        <v>1.74</v>
      </c>
    </row>
    <row r="934" spans="1:5">
      <c r="A934" s="21">
        <v>46264</v>
      </c>
      <c r="B934" t="s">
        <v>84</v>
      </c>
      <c r="C934" s="8">
        <v>379</v>
      </c>
      <c r="D934" s="8">
        <v>799</v>
      </c>
      <c r="E934" s="8">
        <v>2.33</v>
      </c>
    </row>
    <row r="935" spans="1:5">
      <c r="A935" s="21">
        <v>46264</v>
      </c>
      <c r="B935" t="s">
        <v>84</v>
      </c>
      <c r="C935" s="8">
        <v>402</v>
      </c>
      <c r="D935" s="8">
        <v>814</v>
      </c>
      <c r="E935" s="8">
        <v>2.0099999999999998</v>
      </c>
    </row>
    <row r="936" spans="1:5">
      <c r="A936" s="21">
        <v>46264</v>
      </c>
      <c r="B936" t="s">
        <v>84</v>
      </c>
      <c r="C936" s="8">
        <v>415</v>
      </c>
      <c r="D936" s="8">
        <v>810</v>
      </c>
      <c r="E936" s="8">
        <v>1.97</v>
      </c>
    </row>
    <row r="937" spans="1:5">
      <c r="A937" s="21">
        <v>46264</v>
      </c>
      <c r="B937" t="s">
        <v>84</v>
      </c>
      <c r="C937" s="8">
        <v>404</v>
      </c>
      <c r="D937" s="8">
        <v>822</v>
      </c>
      <c r="E937" s="8">
        <v>2.06</v>
      </c>
    </row>
    <row r="938" spans="1:5">
      <c r="A938" s="21">
        <v>46265</v>
      </c>
      <c r="B938" t="s">
        <v>84</v>
      </c>
      <c r="C938" s="8">
        <v>428</v>
      </c>
      <c r="D938" s="8">
        <v>866</v>
      </c>
      <c r="E938" s="8">
        <v>2.09</v>
      </c>
    </row>
    <row r="939" spans="1:5">
      <c r="A939" s="21">
        <v>46265</v>
      </c>
      <c r="B939" t="s">
        <v>84</v>
      </c>
      <c r="C939" s="8">
        <v>440</v>
      </c>
      <c r="D939" s="8">
        <v>856</v>
      </c>
      <c r="E939" s="8">
        <v>2.27</v>
      </c>
    </row>
    <row r="940" spans="1:5">
      <c r="A940" s="21">
        <v>46265</v>
      </c>
      <c r="B940" t="s">
        <v>84</v>
      </c>
      <c r="C940" s="8">
        <v>432</v>
      </c>
      <c r="D940" s="8">
        <v>877</v>
      </c>
      <c r="E940" s="8">
        <v>2.5</v>
      </c>
    </row>
    <row r="941" spans="1:5">
      <c r="A941" s="21">
        <v>46265</v>
      </c>
      <c r="B941" t="s">
        <v>84</v>
      </c>
      <c r="C941" s="8">
        <v>456</v>
      </c>
      <c r="D941" s="8">
        <v>868</v>
      </c>
      <c r="E941" s="8">
        <v>2.11</v>
      </c>
    </row>
    <row r="942" spans="1:5">
      <c r="A942" s="21">
        <v>46265</v>
      </c>
      <c r="B942" t="s">
        <v>84</v>
      </c>
      <c r="C942" s="8">
        <v>449</v>
      </c>
      <c r="D942" s="8">
        <v>901</v>
      </c>
      <c r="E942" s="8">
        <v>2.33</v>
      </c>
    </row>
    <row r="943" spans="1:5">
      <c r="A943" s="21">
        <v>46265</v>
      </c>
      <c r="B943" t="s">
        <v>84</v>
      </c>
      <c r="C943" s="8">
        <v>472</v>
      </c>
      <c r="D943" s="8">
        <v>923</v>
      </c>
      <c r="E943" s="8">
        <v>2.1</v>
      </c>
    </row>
    <row r="944" spans="1:5">
      <c r="A944" s="21">
        <v>46265</v>
      </c>
      <c r="B944" t="s">
        <v>84</v>
      </c>
      <c r="C944" s="8">
        <v>485</v>
      </c>
      <c r="D944" s="8">
        <v>925</v>
      </c>
      <c r="E944" s="8">
        <v>2.3199999999999998</v>
      </c>
    </row>
    <row r="945" spans="1:5">
      <c r="A945" s="21">
        <v>46265</v>
      </c>
      <c r="B945" t="s">
        <v>84</v>
      </c>
      <c r="C945" s="8">
        <v>474</v>
      </c>
      <c r="D945" s="8">
        <v>953</v>
      </c>
      <c r="E945" s="8">
        <v>2.2400000000000002</v>
      </c>
    </row>
    <row r="946" spans="1:5">
      <c r="A946" s="21">
        <v>46265</v>
      </c>
      <c r="B946" t="s">
        <v>84</v>
      </c>
      <c r="C946" s="8">
        <v>498</v>
      </c>
      <c r="D946" s="8">
        <v>966</v>
      </c>
      <c r="E946" s="8">
        <v>2.41</v>
      </c>
    </row>
    <row r="947" spans="1:5">
      <c r="A947" s="21">
        <v>46265</v>
      </c>
      <c r="B947" t="s">
        <v>85</v>
      </c>
      <c r="C947" s="8">
        <v>499</v>
      </c>
      <c r="D947" s="8">
        <v>973</v>
      </c>
      <c r="E947" s="8">
        <v>1.04</v>
      </c>
    </row>
    <row r="948" spans="1:5">
      <c r="A948" s="21">
        <v>46265</v>
      </c>
      <c r="B948" t="s">
        <v>85</v>
      </c>
      <c r="C948" s="8">
        <v>104</v>
      </c>
      <c r="D948" s="8">
        <v>372</v>
      </c>
      <c r="E948" s="8">
        <v>1.1599999999999999</v>
      </c>
    </row>
    <row r="949" spans="1:5">
      <c r="A949" s="21">
        <v>46265</v>
      </c>
      <c r="B949" t="s">
        <v>85</v>
      </c>
      <c r="C949" s="8">
        <v>120</v>
      </c>
      <c r="D949" s="8">
        <v>345</v>
      </c>
      <c r="E949" s="8">
        <v>1.01</v>
      </c>
    </row>
    <row r="950" spans="1:5">
      <c r="A950" s="21">
        <v>46265</v>
      </c>
      <c r="B950" t="s">
        <v>85</v>
      </c>
      <c r="C950" s="8">
        <v>113</v>
      </c>
      <c r="D950" s="8">
        <v>373</v>
      </c>
      <c r="E950" s="8">
        <v>0.89</v>
      </c>
    </row>
    <row r="951" spans="1:5">
      <c r="A951" s="21">
        <v>46265</v>
      </c>
      <c r="B951" t="s">
        <v>85</v>
      </c>
      <c r="C951" s="8">
        <v>136</v>
      </c>
      <c r="D951" s="8">
        <v>379</v>
      </c>
      <c r="E951" s="8">
        <v>0.87</v>
      </c>
    </row>
    <row r="952" spans="1:5">
      <c r="A952" s="21">
        <v>46265</v>
      </c>
      <c r="B952" t="s">
        <v>85</v>
      </c>
      <c r="C952" s="8">
        <v>148</v>
      </c>
      <c r="D952" s="8">
        <v>401</v>
      </c>
      <c r="E952" s="8">
        <v>1.1399999999999999</v>
      </c>
    </row>
    <row r="953" spans="1:5">
      <c r="A953" s="21">
        <v>46265</v>
      </c>
      <c r="B953" t="s">
        <v>85</v>
      </c>
      <c r="C953" s="8">
        <v>140</v>
      </c>
      <c r="D953" s="8">
        <v>411</v>
      </c>
      <c r="E953" s="8">
        <v>0.99</v>
      </c>
    </row>
    <row r="954" spans="1:5">
      <c r="A954" s="21">
        <v>46265</v>
      </c>
      <c r="B954" t="s">
        <v>85</v>
      </c>
      <c r="C954" s="8">
        <v>163</v>
      </c>
      <c r="D954" s="8">
        <v>431</v>
      </c>
      <c r="E954" s="8">
        <v>1.08</v>
      </c>
    </row>
    <row r="955" spans="1:5">
      <c r="A955" s="21">
        <v>46265</v>
      </c>
      <c r="B955" t="s">
        <v>85</v>
      </c>
      <c r="C955" s="8">
        <v>155</v>
      </c>
      <c r="D955" s="8">
        <v>457</v>
      </c>
      <c r="E955" s="8">
        <v>1.29</v>
      </c>
    </row>
    <row r="956" spans="1:5">
      <c r="A956" s="21">
        <v>46265</v>
      </c>
      <c r="B956" t="s">
        <v>85</v>
      </c>
      <c r="C956" s="8">
        <v>178</v>
      </c>
      <c r="D956" s="8">
        <v>487</v>
      </c>
      <c r="E956" s="8">
        <v>1.3</v>
      </c>
    </row>
    <row r="957" spans="1:5">
      <c r="A957" s="21">
        <v>46265</v>
      </c>
      <c r="B957" t="s">
        <v>85</v>
      </c>
      <c r="C957" s="8">
        <v>191</v>
      </c>
      <c r="D957" s="8">
        <v>502</v>
      </c>
      <c r="E957" s="8">
        <v>1.52</v>
      </c>
    </row>
    <row r="958" spans="1:5">
      <c r="A958" s="21">
        <v>46265</v>
      </c>
      <c r="B958" t="s">
        <v>85</v>
      </c>
      <c r="C958" s="8">
        <v>180</v>
      </c>
      <c r="D958" s="8">
        <v>502</v>
      </c>
      <c r="E958" s="8">
        <v>1.51</v>
      </c>
    </row>
    <row r="959" spans="1:5">
      <c r="A959" s="21">
        <v>46265</v>
      </c>
      <c r="B959" t="s">
        <v>85</v>
      </c>
      <c r="C959" s="8">
        <v>204</v>
      </c>
      <c r="D959" s="8">
        <v>502</v>
      </c>
      <c r="E959" s="8">
        <v>1.1299999999999999</v>
      </c>
    </row>
    <row r="960" spans="1:5">
      <c r="A960" s="21">
        <v>46265</v>
      </c>
      <c r="B960" t="s">
        <v>85</v>
      </c>
      <c r="C960" s="8">
        <v>216</v>
      </c>
      <c r="D960" s="8">
        <v>547</v>
      </c>
      <c r="E960" s="8">
        <v>1.47</v>
      </c>
    </row>
    <row r="961" spans="1:5">
      <c r="A961" s="21">
        <v>46265</v>
      </c>
      <c r="B961" t="s">
        <v>85</v>
      </c>
      <c r="C961" s="8">
        <v>208</v>
      </c>
      <c r="D961" s="8">
        <v>548</v>
      </c>
      <c r="E961" s="8">
        <v>1.44</v>
      </c>
    </row>
    <row r="962" spans="1:5">
      <c r="A962" s="21">
        <v>46265</v>
      </c>
      <c r="B962" t="s">
        <v>85</v>
      </c>
      <c r="C962" s="8">
        <v>232</v>
      </c>
      <c r="D962" s="8">
        <v>546</v>
      </c>
      <c r="E962" s="8">
        <v>1.23</v>
      </c>
    </row>
    <row r="963" spans="1:5">
      <c r="A963" s="21">
        <v>46265</v>
      </c>
      <c r="B963" t="s">
        <v>85</v>
      </c>
      <c r="C963" s="8">
        <v>225</v>
      </c>
      <c r="D963" s="8">
        <v>569</v>
      </c>
      <c r="E963" s="8">
        <v>1.6</v>
      </c>
    </row>
    <row r="964" spans="1:5">
      <c r="A964" s="21">
        <v>46296</v>
      </c>
      <c r="B964" t="s">
        <v>85</v>
      </c>
      <c r="C964" s="8">
        <v>248</v>
      </c>
      <c r="D964" s="8">
        <v>574</v>
      </c>
      <c r="E964" s="8">
        <v>1.44</v>
      </c>
    </row>
    <row r="965" spans="1:5">
      <c r="A965" s="21">
        <v>46296</v>
      </c>
      <c r="B965" t="s">
        <v>85</v>
      </c>
      <c r="C965" s="8">
        <v>261</v>
      </c>
      <c r="D965" s="8">
        <v>586</v>
      </c>
      <c r="E965" s="8">
        <v>1.74</v>
      </c>
    </row>
    <row r="966" spans="1:5">
      <c r="A966" s="21">
        <v>46296</v>
      </c>
      <c r="B966" t="s">
        <v>85</v>
      </c>
      <c r="C966" s="8">
        <v>250</v>
      </c>
      <c r="D966" s="8">
        <v>616</v>
      </c>
      <c r="E966" s="8">
        <v>1.76</v>
      </c>
    </row>
    <row r="967" spans="1:5">
      <c r="A967" s="21">
        <v>46296</v>
      </c>
      <c r="B967" t="s">
        <v>85</v>
      </c>
      <c r="C967" s="8">
        <v>274</v>
      </c>
      <c r="D967" s="8">
        <v>632</v>
      </c>
      <c r="E967" s="8">
        <v>1.57</v>
      </c>
    </row>
    <row r="968" spans="1:5">
      <c r="A968" s="21">
        <v>46296</v>
      </c>
      <c r="B968" t="s">
        <v>85</v>
      </c>
      <c r="C968" s="8">
        <v>286</v>
      </c>
      <c r="D968" s="8">
        <v>656</v>
      </c>
      <c r="E968" s="8">
        <v>1.87</v>
      </c>
    </row>
    <row r="969" spans="1:5">
      <c r="A969" s="21">
        <v>46296</v>
      </c>
      <c r="B969" t="s">
        <v>85</v>
      </c>
      <c r="C969" s="8">
        <v>278</v>
      </c>
      <c r="D969" s="8">
        <v>650</v>
      </c>
      <c r="E969" s="8">
        <v>1.72</v>
      </c>
    </row>
    <row r="970" spans="1:5">
      <c r="A970" s="21">
        <v>46296</v>
      </c>
      <c r="B970" t="s">
        <v>85</v>
      </c>
      <c r="C970" s="8">
        <v>302</v>
      </c>
      <c r="D970" s="8">
        <v>682</v>
      </c>
      <c r="E970" s="8">
        <v>1.78</v>
      </c>
    </row>
    <row r="971" spans="1:5">
      <c r="A971" s="21">
        <v>46296</v>
      </c>
      <c r="B971" t="s">
        <v>85</v>
      </c>
      <c r="C971" s="8">
        <v>295</v>
      </c>
      <c r="D971" s="8">
        <v>696</v>
      </c>
      <c r="E971" s="8">
        <v>2.06</v>
      </c>
    </row>
    <row r="972" spans="1:5">
      <c r="A972" s="21">
        <v>46296</v>
      </c>
      <c r="B972" t="s">
        <v>85</v>
      </c>
      <c r="C972" s="8">
        <v>318</v>
      </c>
      <c r="D972" s="8">
        <v>719</v>
      </c>
      <c r="E972" s="8">
        <v>2.02</v>
      </c>
    </row>
    <row r="973" spans="1:5">
      <c r="A973" s="21">
        <v>46296</v>
      </c>
      <c r="B973" t="s">
        <v>85</v>
      </c>
      <c r="C973" s="8">
        <v>331</v>
      </c>
      <c r="D973" s="8">
        <v>705</v>
      </c>
      <c r="E973" s="8">
        <v>2.04</v>
      </c>
    </row>
    <row r="974" spans="1:5">
      <c r="A974" s="21">
        <v>46296</v>
      </c>
      <c r="B974" t="s">
        <v>85</v>
      </c>
      <c r="C974" s="8">
        <v>320</v>
      </c>
      <c r="D974" s="8">
        <v>748</v>
      </c>
      <c r="E974" s="8">
        <v>1.87</v>
      </c>
    </row>
    <row r="975" spans="1:5">
      <c r="A975" s="21">
        <v>46296</v>
      </c>
      <c r="B975" t="s">
        <v>85</v>
      </c>
      <c r="C975" s="8">
        <v>344</v>
      </c>
      <c r="D975" s="8">
        <v>725</v>
      </c>
      <c r="E975" s="8">
        <v>1.71</v>
      </c>
    </row>
    <row r="976" spans="1:5">
      <c r="A976" s="21">
        <v>46296</v>
      </c>
      <c r="B976" t="s">
        <v>85</v>
      </c>
      <c r="C976" s="8">
        <v>356</v>
      </c>
      <c r="D976" s="8">
        <v>741</v>
      </c>
      <c r="E976" s="8">
        <v>2.33</v>
      </c>
    </row>
    <row r="977" spans="1:5">
      <c r="A977" s="21">
        <v>46296</v>
      </c>
      <c r="B977" t="s">
        <v>85</v>
      </c>
      <c r="C977" s="8">
        <v>348</v>
      </c>
      <c r="D977" s="8">
        <v>760</v>
      </c>
      <c r="E977" s="8">
        <v>2.39</v>
      </c>
    </row>
    <row r="978" spans="1:5">
      <c r="A978" s="21">
        <v>46296</v>
      </c>
      <c r="B978" t="s">
        <v>85</v>
      </c>
      <c r="C978" s="8">
        <v>372</v>
      </c>
      <c r="D978" s="8">
        <v>787</v>
      </c>
      <c r="E978" s="8">
        <v>2.09</v>
      </c>
    </row>
    <row r="979" spans="1:5">
      <c r="A979" s="21">
        <v>46296</v>
      </c>
      <c r="B979" t="s">
        <v>85</v>
      </c>
      <c r="C979" s="8">
        <v>365</v>
      </c>
      <c r="D979" s="8">
        <v>805</v>
      </c>
      <c r="E979" s="8">
        <v>2.15</v>
      </c>
    </row>
    <row r="980" spans="1:5">
      <c r="A980" s="21">
        <v>46296</v>
      </c>
      <c r="B980" t="s">
        <v>85</v>
      </c>
      <c r="C980" s="8">
        <v>388</v>
      </c>
      <c r="D980" s="8">
        <v>818</v>
      </c>
      <c r="E980" s="8">
        <v>2.0099999999999998</v>
      </c>
    </row>
    <row r="981" spans="1:5">
      <c r="A981" s="21">
        <v>46296</v>
      </c>
      <c r="B981" t="s">
        <v>85</v>
      </c>
      <c r="C981" s="8">
        <v>401</v>
      </c>
      <c r="D981" s="8">
        <v>856</v>
      </c>
      <c r="E981" s="8">
        <v>2.1800000000000002</v>
      </c>
    </row>
    <row r="982" spans="1:5">
      <c r="A982" s="21">
        <v>46296</v>
      </c>
      <c r="B982" t="s">
        <v>85</v>
      </c>
      <c r="C982" s="8">
        <v>390</v>
      </c>
      <c r="D982" s="8">
        <v>839</v>
      </c>
      <c r="E982" s="8">
        <v>2.2200000000000002</v>
      </c>
    </row>
    <row r="983" spans="1:5">
      <c r="A983" s="21">
        <v>46296</v>
      </c>
      <c r="B983" t="s">
        <v>85</v>
      </c>
      <c r="C983" s="8">
        <v>414</v>
      </c>
      <c r="D983" s="8">
        <v>851</v>
      </c>
      <c r="E983" s="8">
        <v>2.17</v>
      </c>
    </row>
    <row r="984" spans="1:5">
      <c r="A984" s="21">
        <v>46296</v>
      </c>
      <c r="B984" t="s">
        <v>85</v>
      </c>
      <c r="C984" s="8">
        <v>426</v>
      </c>
      <c r="D984" s="8">
        <v>896</v>
      </c>
      <c r="E984" s="8">
        <v>2.0699999999999998</v>
      </c>
    </row>
    <row r="985" spans="1:5">
      <c r="A985" s="21">
        <v>46296</v>
      </c>
      <c r="B985" t="s">
        <v>85</v>
      </c>
      <c r="C985" s="8">
        <v>418</v>
      </c>
      <c r="D985" s="8">
        <v>903</v>
      </c>
      <c r="E985" s="8">
        <v>2.57</v>
      </c>
    </row>
    <row r="986" spans="1:5">
      <c r="A986" s="21">
        <v>46296</v>
      </c>
      <c r="B986" t="s">
        <v>85</v>
      </c>
      <c r="C986" s="8">
        <v>442</v>
      </c>
      <c r="D986" s="8">
        <v>910</v>
      </c>
      <c r="E986" s="8">
        <v>2.37</v>
      </c>
    </row>
    <row r="987" spans="1:5">
      <c r="A987" s="21">
        <v>46296</v>
      </c>
      <c r="B987" t="s">
        <v>85</v>
      </c>
      <c r="C987" s="8">
        <v>435</v>
      </c>
      <c r="D987" s="8">
        <v>940</v>
      </c>
      <c r="E987" s="8">
        <v>2.34</v>
      </c>
    </row>
    <row r="988" spans="1:5">
      <c r="A988" s="21">
        <v>46296</v>
      </c>
      <c r="B988" t="s">
        <v>85</v>
      </c>
      <c r="C988" s="8">
        <v>458</v>
      </c>
      <c r="D988" s="8">
        <v>959</v>
      </c>
      <c r="E988" s="8">
        <v>2.2200000000000002</v>
      </c>
    </row>
    <row r="989" spans="1:5">
      <c r="A989" s="21">
        <v>46296</v>
      </c>
      <c r="B989" t="s">
        <v>85</v>
      </c>
      <c r="C989" s="8">
        <v>471</v>
      </c>
      <c r="D989" s="8">
        <v>937</v>
      </c>
      <c r="E989" s="8">
        <v>2.84</v>
      </c>
    </row>
    <row r="990" spans="1:5">
      <c r="A990" s="21">
        <v>46297</v>
      </c>
      <c r="B990" t="s">
        <v>85</v>
      </c>
      <c r="C990" s="8">
        <v>460</v>
      </c>
      <c r="D990" s="8">
        <v>959</v>
      </c>
      <c r="E990" s="8">
        <v>2.65</v>
      </c>
    </row>
    <row r="991" spans="1:5">
      <c r="A991" s="21">
        <v>46297</v>
      </c>
      <c r="B991" t="s">
        <v>85</v>
      </c>
      <c r="C991" s="8">
        <v>484</v>
      </c>
      <c r="D991" s="8">
        <v>987</v>
      </c>
      <c r="E991" s="8">
        <v>2.3199999999999998</v>
      </c>
    </row>
    <row r="992" spans="1:5">
      <c r="A992" s="21">
        <v>46297</v>
      </c>
      <c r="B992" t="s">
        <v>86</v>
      </c>
      <c r="C992" s="8">
        <v>497</v>
      </c>
      <c r="D992" s="8">
        <v>1000</v>
      </c>
      <c r="E992" s="8">
        <v>1.04</v>
      </c>
    </row>
    <row r="993" spans="1:5">
      <c r="A993" s="21">
        <v>46297</v>
      </c>
      <c r="B993" t="s">
        <v>86</v>
      </c>
      <c r="C993" s="8">
        <v>111</v>
      </c>
      <c r="D993" s="8">
        <v>310</v>
      </c>
      <c r="E993" s="8">
        <v>1.1100000000000001</v>
      </c>
    </row>
    <row r="994" spans="1:5">
      <c r="A994" s="21">
        <v>46297</v>
      </c>
      <c r="B994" t="s">
        <v>86</v>
      </c>
      <c r="C994" s="8">
        <v>127</v>
      </c>
      <c r="D994" s="8">
        <v>329</v>
      </c>
      <c r="E994" s="8">
        <v>0.84</v>
      </c>
    </row>
    <row r="995" spans="1:5">
      <c r="A995" s="21">
        <v>46297</v>
      </c>
      <c r="B995" t="s">
        <v>86</v>
      </c>
      <c r="C995" s="8">
        <v>120</v>
      </c>
      <c r="D995" s="8">
        <v>339</v>
      </c>
      <c r="E995" s="8">
        <v>1.1000000000000001</v>
      </c>
    </row>
    <row r="996" spans="1:5">
      <c r="A996" s="21">
        <v>46297</v>
      </c>
      <c r="B996" t="s">
        <v>86</v>
      </c>
      <c r="C996" s="8">
        <v>143</v>
      </c>
      <c r="D996" s="8">
        <v>330</v>
      </c>
      <c r="E996" s="8">
        <v>1.1100000000000001</v>
      </c>
    </row>
    <row r="997" spans="1:5">
      <c r="A997" s="21">
        <v>46297</v>
      </c>
      <c r="B997" t="s">
        <v>86</v>
      </c>
      <c r="C997" s="8">
        <v>155</v>
      </c>
      <c r="D997" s="8">
        <v>358</v>
      </c>
      <c r="E997" s="8">
        <v>1.18</v>
      </c>
    </row>
    <row r="998" spans="1:5">
      <c r="A998" s="21">
        <v>46297</v>
      </c>
      <c r="B998" t="s">
        <v>86</v>
      </c>
      <c r="C998" s="8">
        <v>147</v>
      </c>
      <c r="D998" s="8">
        <v>394</v>
      </c>
      <c r="E998" s="8">
        <v>1.34</v>
      </c>
    </row>
    <row r="999" spans="1:5">
      <c r="A999" s="21">
        <v>46297</v>
      </c>
      <c r="B999" t="s">
        <v>86</v>
      </c>
      <c r="C999" s="8">
        <v>170</v>
      </c>
      <c r="D999" s="8">
        <v>407</v>
      </c>
      <c r="E999" s="8">
        <v>1.08</v>
      </c>
    </row>
    <row r="1000" spans="1:5">
      <c r="A1000" s="21">
        <v>46297</v>
      </c>
      <c r="B1000" t="s">
        <v>86</v>
      </c>
      <c r="C1000" s="8">
        <v>162</v>
      </c>
      <c r="D1000" s="8">
        <v>413</v>
      </c>
      <c r="E1000" s="8">
        <v>1.17</v>
      </c>
    </row>
    <row r="1001" spans="1:5">
      <c r="A1001" s="21">
        <v>46297</v>
      </c>
      <c r="B1001" t="s">
        <v>86</v>
      </c>
      <c r="C1001" s="8">
        <v>185</v>
      </c>
      <c r="D1001" s="8">
        <v>417</v>
      </c>
      <c r="E1001" s="8">
        <v>1.1000000000000001</v>
      </c>
    </row>
    <row r="1002" spans="1:5">
      <c r="A1002" s="21">
        <v>46297</v>
      </c>
      <c r="B1002" t="s">
        <v>86</v>
      </c>
      <c r="C1002" s="8">
        <v>198</v>
      </c>
      <c r="D1002" s="8">
        <v>448</v>
      </c>
      <c r="E1002" s="8">
        <v>1.22</v>
      </c>
    </row>
    <row r="1003" spans="1:5">
      <c r="A1003" s="21">
        <v>46297</v>
      </c>
      <c r="B1003" t="s">
        <v>86</v>
      </c>
      <c r="C1003" s="8">
        <v>187</v>
      </c>
      <c r="D1003" s="8">
        <v>431</v>
      </c>
      <c r="E1003" s="8">
        <v>1.31</v>
      </c>
    </row>
    <row r="1004" spans="1:5">
      <c r="A1004" s="21">
        <v>46297</v>
      </c>
      <c r="B1004" t="s">
        <v>86</v>
      </c>
      <c r="C1004" s="8">
        <v>211</v>
      </c>
      <c r="D1004" s="8">
        <v>448</v>
      </c>
      <c r="E1004" s="8">
        <v>1.23</v>
      </c>
    </row>
    <row r="1005" spans="1:5">
      <c r="A1005" s="21">
        <v>46297</v>
      </c>
      <c r="B1005" t="s">
        <v>86</v>
      </c>
      <c r="C1005" s="8">
        <v>223</v>
      </c>
      <c r="D1005" s="8">
        <v>483</v>
      </c>
      <c r="E1005" s="8">
        <v>1.39</v>
      </c>
    </row>
    <row r="1006" spans="1:5">
      <c r="A1006" s="21">
        <v>46297</v>
      </c>
      <c r="B1006" t="s">
        <v>86</v>
      </c>
      <c r="C1006" s="8">
        <v>215</v>
      </c>
      <c r="D1006" s="8">
        <v>497</v>
      </c>
      <c r="E1006" s="8">
        <v>1.07</v>
      </c>
    </row>
    <row r="1007" spans="1:5">
      <c r="A1007" s="21">
        <v>46297</v>
      </c>
      <c r="B1007" t="s">
        <v>86</v>
      </c>
      <c r="C1007" s="8">
        <v>239</v>
      </c>
      <c r="D1007" s="8">
        <v>508</v>
      </c>
      <c r="E1007" s="8">
        <v>1.22</v>
      </c>
    </row>
    <row r="1008" spans="1:5">
      <c r="A1008" s="21">
        <v>46297</v>
      </c>
      <c r="B1008" t="s">
        <v>86</v>
      </c>
      <c r="C1008" s="8">
        <v>232</v>
      </c>
      <c r="D1008" s="8">
        <v>521</v>
      </c>
      <c r="E1008" s="8">
        <v>1.22</v>
      </c>
    </row>
    <row r="1009" spans="1:5">
      <c r="A1009" s="21">
        <v>46297</v>
      </c>
      <c r="B1009" t="s">
        <v>86</v>
      </c>
      <c r="C1009" s="8">
        <v>255</v>
      </c>
      <c r="D1009" s="8">
        <v>511</v>
      </c>
      <c r="E1009" s="8">
        <v>1.26</v>
      </c>
    </row>
    <row r="1010" spans="1:5">
      <c r="A1010" s="21">
        <v>46297</v>
      </c>
      <c r="B1010" t="s">
        <v>86</v>
      </c>
      <c r="C1010" s="8">
        <v>268</v>
      </c>
      <c r="D1010" s="8">
        <v>524</v>
      </c>
      <c r="E1010" s="8">
        <v>1.23</v>
      </c>
    </row>
    <row r="1011" spans="1:5">
      <c r="A1011" s="21">
        <v>46297</v>
      </c>
      <c r="B1011" t="s">
        <v>86</v>
      </c>
      <c r="C1011" s="8">
        <v>257</v>
      </c>
      <c r="D1011" s="8">
        <v>562</v>
      </c>
      <c r="E1011" s="8">
        <v>1.31</v>
      </c>
    </row>
    <row r="1012" spans="1:5">
      <c r="A1012" s="21">
        <v>46297</v>
      </c>
      <c r="B1012" t="s">
        <v>86</v>
      </c>
      <c r="C1012" s="8">
        <v>281</v>
      </c>
      <c r="D1012" s="8">
        <v>577</v>
      </c>
      <c r="E1012" s="8">
        <v>1.42</v>
      </c>
    </row>
    <row r="1013" spans="1:5">
      <c r="A1013" s="21">
        <v>46297</v>
      </c>
      <c r="B1013" t="s">
        <v>86</v>
      </c>
      <c r="C1013" s="8">
        <v>293</v>
      </c>
      <c r="D1013" s="8">
        <v>575</v>
      </c>
      <c r="E1013" s="8">
        <v>1.68</v>
      </c>
    </row>
    <row r="1014" spans="1:5">
      <c r="A1014" s="21">
        <v>46297</v>
      </c>
      <c r="B1014" t="s">
        <v>86</v>
      </c>
      <c r="C1014" s="8">
        <v>285</v>
      </c>
      <c r="D1014" s="8">
        <v>588</v>
      </c>
      <c r="E1014" s="8">
        <v>1.27</v>
      </c>
    </row>
    <row r="1015" spans="1:5">
      <c r="A1015" s="21">
        <v>46297</v>
      </c>
      <c r="B1015" t="s">
        <v>86</v>
      </c>
      <c r="C1015" s="8">
        <v>309</v>
      </c>
      <c r="D1015" s="8">
        <v>628</v>
      </c>
      <c r="E1015" s="8">
        <v>1.18</v>
      </c>
    </row>
    <row r="1016" spans="1:5">
      <c r="A1016" s="21">
        <v>46298</v>
      </c>
      <c r="B1016" t="s">
        <v>86</v>
      </c>
      <c r="C1016" s="8">
        <v>302</v>
      </c>
      <c r="D1016" s="8">
        <v>609</v>
      </c>
      <c r="E1016" s="8">
        <v>1.49</v>
      </c>
    </row>
    <row r="1017" spans="1:5">
      <c r="A1017" s="21">
        <v>46298</v>
      </c>
      <c r="B1017" t="s">
        <v>86</v>
      </c>
      <c r="C1017" s="8">
        <v>325</v>
      </c>
      <c r="D1017" s="8">
        <v>644</v>
      </c>
      <c r="E1017" s="8">
        <v>1.35</v>
      </c>
    </row>
    <row r="1018" spans="1:5">
      <c r="A1018" s="21">
        <v>46298</v>
      </c>
      <c r="B1018" t="s">
        <v>86</v>
      </c>
      <c r="C1018" s="8">
        <v>338</v>
      </c>
      <c r="D1018" s="8">
        <v>643</v>
      </c>
      <c r="E1018" s="8">
        <v>1.49</v>
      </c>
    </row>
    <row r="1019" spans="1:5">
      <c r="A1019" s="21">
        <v>46298</v>
      </c>
      <c r="B1019" t="s">
        <v>86</v>
      </c>
      <c r="C1019" s="8">
        <v>327</v>
      </c>
      <c r="D1019" s="8">
        <v>644</v>
      </c>
      <c r="E1019" s="8">
        <v>0.96</v>
      </c>
    </row>
    <row r="1020" spans="1:5">
      <c r="A1020" s="21">
        <v>46298</v>
      </c>
      <c r="B1020" t="s">
        <v>86</v>
      </c>
      <c r="C1020" s="8">
        <v>351</v>
      </c>
      <c r="D1020" s="8">
        <v>665</v>
      </c>
      <c r="E1020" s="8">
        <v>1.82</v>
      </c>
    </row>
    <row r="1021" spans="1:5">
      <c r="A1021" s="21">
        <v>46298</v>
      </c>
      <c r="B1021" t="s">
        <v>86</v>
      </c>
      <c r="C1021" s="8">
        <v>363</v>
      </c>
      <c r="D1021" s="8">
        <v>672</v>
      </c>
      <c r="E1021" s="8">
        <v>1.42</v>
      </c>
    </row>
    <row r="1022" spans="1:5">
      <c r="A1022" s="21">
        <v>46298</v>
      </c>
      <c r="B1022" t="s">
        <v>86</v>
      </c>
      <c r="C1022" s="8">
        <v>355</v>
      </c>
      <c r="D1022" s="8">
        <v>722</v>
      </c>
      <c r="E1022" s="8">
        <v>1.56</v>
      </c>
    </row>
    <row r="1023" spans="1:5">
      <c r="A1023" s="21">
        <v>46298</v>
      </c>
      <c r="B1023" t="s">
        <v>86</v>
      </c>
      <c r="C1023" s="8">
        <v>379</v>
      </c>
      <c r="D1023" s="8">
        <v>725</v>
      </c>
      <c r="E1023" s="8">
        <v>1.1599999999999999</v>
      </c>
    </row>
    <row r="1024" spans="1:5">
      <c r="A1024" s="21">
        <v>46298</v>
      </c>
      <c r="B1024" t="s">
        <v>86</v>
      </c>
      <c r="C1024" s="8">
        <v>372</v>
      </c>
      <c r="D1024" s="8">
        <v>743</v>
      </c>
      <c r="E1024" s="8">
        <v>1.71</v>
      </c>
    </row>
    <row r="1025" spans="1:5">
      <c r="A1025" s="21">
        <v>46298</v>
      </c>
      <c r="B1025" t="s">
        <v>86</v>
      </c>
      <c r="C1025" s="8">
        <v>395</v>
      </c>
      <c r="D1025" s="8">
        <v>744</v>
      </c>
      <c r="E1025" s="8">
        <v>1.83</v>
      </c>
    </row>
    <row r="1026" spans="1:5">
      <c r="A1026" s="21">
        <v>46298</v>
      </c>
      <c r="B1026" t="s">
        <v>86</v>
      </c>
      <c r="C1026" s="8">
        <v>408</v>
      </c>
      <c r="D1026" s="8">
        <v>746</v>
      </c>
      <c r="E1026" s="8">
        <v>1.64</v>
      </c>
    </row>
    <row r="1027" spans="1:5">
      <c r="A1027" s="21">
        <v>46298</v>
      </c>
      <c r="B1027" t="s">
        <v>86</v>
      </c>
      <c r="C1027" s="8">
        <v>397</v>
      </c>
      <c r="D1027" s="8">
        <v>772</v>
      </c>
      <c r="E1027" s="8">
        <v>1.7</v>
      </c>
    </row>
    <row r="1028" spans="1:5">
      <c r="A1028" s="21">
        <v>46298</v>
      </c>
      <c r="B1028" t="s">
        <v>86</v>
      </c>
      <c r="C1028" s="8">
        <v>421</v>
      </c>
      <c r="D1028" s="8">
        <v>775</v>
      </c>
      <c r="E1028" s="8">
        <v>1.44</v>
      </c>
    </row>
    <row r="1029" spans="1:5">
      <c r="A1029" s="21">
        <v>46298</v>
      </c>
      <c r="B1029" t="s">
        <v>86</v>
      </c>
      <c r="C1029" s="8">
        <v>433</v>
      </c>
      <c r="D1029" s="8">
        <v>793</v>
      </c>
      <c r="E1029" s="8">
        <v>1.74</v>
      </c>
    </row>
    <row r="1030" spans="1:5">
      <c r="A1030" s="21">
        <v>46298</v>
      </c>
      <c r="B1030" t="s">
        <v>86</v>
      </c>
      <c r="C1030" s="8">
        <v>425</v>
      </c>
      <c r="D1030" s="8">
        <v>811</v>
      </c>
      <c r="E1030" s="8">
        <v>1.69</v>
      </c>
    </row>
    <row r="1031" spans="1:5">
      <c r="A1031" s="21">
        <v>46298</v>
      </c>
      <c r="B1031" t="s">
        <v>86</v>
      </c>
      <c r="C1031" s="8">
        <v>449</v>
      </c>
      <c r="D1031" s="8">
        <v>849</v>
      </c>
      <c r="E1031" s="8">
        <v>1.6</v>
      </c>
    </row>
    <row r="1032" spans="1:5">
      <c r="A1032" s="21">
        <v>46298</v>
      </c>
      <c r="B1032" t="s">
        <v>86</v>
      </c>
      <c r="C1032" s="8">
        <v>442</v>
      </c>
      <c r="D1032" s="8">
        <v>866</v>
      </c>
      <c r="E1032" s="8">
        <v>1.87</v>
      </c>
    </row>
    <row r="1033" spans="1:5">
      <c r="A1033" s="21">
        <v>46298</v>
      </c>
      <c r="B1033" t="s">
        <v>86</v>
      </c>
      <c r="C1033" s="8">
        <v>465</v>
      </c>
      <c r="D1033" s="8">
        <v>872</v>
      </c>
      <c r="E1033" s="8">
        <v>1.61</v>
      </c>
    </row>
    <row r="1034" spans="1:5">
      <c r="A1034" s="21">
        <v>46298</v>
      </c>
      <c r="B1034" t="s">
        <v>86</v>
      </c>
      <c r="C1034" s="8">
        <v>478</v>
      </c>
      <c r="D1034" s="8">
        <v>854</v>
      </c>
      <c r="E1034" s="8">
        <v>2.0299999999999998</v>
      </c>
    </row>
    <row r="1035" spans="1:5">
      <c r="A1035" s="21">
        <v>46298</v>
      </c>
      <c r="B1035" t="s">
        <v>86</v>
      </c>
      <c r="C1035" s="8">
        <v>467</v>
      </c>
      <c r="D1035" s="8">
        <v>901</v>
      </c>
      <c r="E1035" s="8">
        <v>1.83</v>
      </c>
    </row>
    <row r="1036" spans="1:5">
      <c r="A1036" s="21">
        <v>46298</v>
      </c>
      <c r="B1036" t="s">
        <v>86</v>
      </c>
      <c r="C1036" s="8">
        <v>491</v>
      </c>
      <c r="D1036" s="8">
        <v>883</v>
      </c>
      <c r="E1036" s="8">
        <v>1.81</v>
      </c>
    </row>
    <row r="1037" spans="1:5">
      <c r="A1037" s="21">
        <v>46298</v>
      </c>
      <c r="B1037" t="s">
        <v>87</v>
      </c>
      <c r="C1037" s="8">
        <v>500</v>
      </c>
      <c r="D1037" s="8">
        <v>913</v>
      </c>
      <c r="E1037" s="8">
        <v>0.55000000000000004</v>
      </c>
    </row>
    <row r="1038" spans="1:5">
      <c r="A1038" s="21">
        <v>46298</v>
      </c>
      <c r="B1038" t="s">
        <v>87</v>
      </c>
      <c r="C1038" s="8">
        <v>105</v>
      </c>
      <c r="D1038" s="8">
        <v>346</v>
      </c>
      <c r="E1038" s="8">
        <v>0.81</v>
      </c>
    </row>
    <row r="1039" spans="1:5">
      <c r="A1039" s="21">
        <v>46298</v>
      </c>
      <c r="B1039" t="s">
        <v>87</v>
      </c>
      <c r="C1039" s="8">
        <v>122</v>
      </c>
      <c r="D1039" s="8">
        <v>323</v>
      </c>
      <c r="E1039" s="8">
        <v>0.91</v>
      </c>
    </row>
    <row r="1040" spans="1:5">
      <c r="A1040" s="21">
        <v>46298</v>
      </c>
      <c r="B1040" t="s">
        <v>87</v>
      </c>
      <c r="C1040" s="8">
        <v>115</v>
      </c>
      <c r="D1040" s="8">
        <v>341</v>
      </c>
      <c r="E1040" s="8">
        <v>0.78</v>
      </c>
    </row>
    <row r="1041" spans="1:5">
      <c r="A1041" s="21">
        <v>46298</v>
      </c>
      <c r="B1041" t="s">
        <v>87</v>
      </c>
      <c r="C1041" s="8">
        <v>138</v>
      </c>
      <c r="D1041" s="8">
        <v>352</v>
      </c>
      <c r="E1041" s="8">
        <v>0.86</v>
      </c>
    </row>
    <row r="1042" spans="1:5">
      <c r="A1042" s="21">
        <v>46299</v>
      </c>
      <c r="B1042" t="s">
        <v>87</v>
      </c>
      <c r="C1042" s="8">
        <v>150</v>
      </c>
      <c r="D1042" s="8">
        <v>378</v>
      </c>
      <c r="E1042" s="8">
        <v>0.71</v>
      </c>
    </row>
    <row r="1043" spans="1:5">
      <c r="A1043" s="21">
        <v>46299</v>
      </c>
      <c r="B1043" t="s">
        <v>87</v>
      </c>
      <c r="C1043" s="8">
        <v>142</v>
      </c>
      <c r="D1043" s="8">
        <v>407</v>
      </c>
      <c r="E1043" s="8">
        <v>0.71</v>
      </c>
    </row>
    <row r="1044" spans="1:5">
      <c r="A1044" s="21">
        <v>46299</v>
      </c>
      <c r="B1044" t="s">
        <v>87</v>
      </c>
      <c r="C1044" s="8">
        <v>165</v>
      </c>
      <c r="D1044" s="8">
        <v>405</v>
      </c>
      <c r="E1044" s="8">
        <v>0.91</v>
      </c>
    </row>
    <row r="1045" spans="1:5">
      <c r="A1045" s="21">
        <v>46299</v>
      </c>
      <c r="B1045" t="s">
        <v>87</v>
      </c>
      <c r="C1045" s="8">
        <v>157</v>
      </c>
      <c r="D1045" s="8">
        <v>433</v>
      </c>
      <c r="E1045" s="8">
        <v>0.86</v>
      </c>
    </row>
    <row r="1046" spans="1:5">
      <c r="A1046" s="21">
        <v>46299</v>
      </c>
      <c r="B1046" t="s">
        <v>87</v>
      </c>
      <c r="C1046" s="8">
        <v>180</v>
      </c>
      <c r="D1046" s="8">
        <v>425</v>
      </c>
      <c r="E1046" s="8">
        <v>0.98</v>
      </c>
    </row>
    <row r="1047" spans="1:5">
      <c r="A1047" s="21">
        <v>46299</v>
      </c>
      <c r="B1047" t="s">
        <v>87</v>
      </c>
      <c r="C1047" s="8">
        <v>193</v>
      </c>
      <c r="D1047" s="8">
        <v>451</v>
      </c>
      <c r="E1047" s="8">
        <v>0.74</v>
      </c>
    </row>
    <row r="1048" spans="1:5">
      <c r="A1048" s="21">
        <v>46299</v>
      </c>
      <c r="B1048" t="s">
        <v>87</v>
      </c>
      <c r="C1048" s="8">
        <v>182</v>
      </c>
      <c r="D1048" s="8">
        <v>455</v>
      </c>
      <c r="E1048" s="8">
        <v>0.87</v>
      </c>
    </row>
    <row r="1049" spans="1:5">
      <c r="A1049" s="21">
        <v>46299</v>
      </c>
      <c r="B1049" t="s">
        <v>87</v>
      </c>
      <c r="C1049" s="8">
        <v>206</v>
      </c>
      <c r="D1049" s="8">
        <v>473</v>
      </c>
      <c r="E1049" s="8">
        <v>1.1499999999999999</v>
      </c>
    </row>
    <row r="1050" spans="1:5">
      <c r="A1050" s="21">
        <v>46299</v>
      </c>
      <c r="B1050" t="s">
        <v>87</v>
      </c>
      <c r="C1050" s="8">
        <v>218</v>
      </c>
      <c r="D1050" s="8">
        <v>499</v>
      </c>
      <c r="E1050" s="8">
        <v>1.23</v>
      </c>
    </row>
    <row r="1051" spans="1:5">
      <c r="A1051" s="21">
        <v>46299</v>
      </c>
      <c r="B1051" t="s">
        <v>87</v>
      </c>
      <c r="C1051" s="8">
        <v>210</v>
      </c>
      <c r="D1051" s="8">
        <v>513</v>
      </c>
      <c r="E1051" s="8">
        <v>1.22</v>
      </c>
    </row>
    <row r="1052" spans="1:5">
      <c r="A1052" s="21">
        <v>46299</v>
      </c>
      <c r="B1052" t="s">
        <v>87</v>
      </c>
      <c r="C1052" s="8">
        <v>234</v>
      </c>
      <c r="D1052" s="8">
        <v>514</v>
      </c>
      <c r="E1052" s="8">
        <v>1.08</v>
      </c>
    </row>
    <row r="1053" spans="1:5">
      <c r="A1053" s="21">
        <v>46299</v>
      </c>
      <c r="B1053" t="s">
        <v>87</v>
      </c>
      <c r="C1053" s="8">
        <v>227</v>
      </c>
      <c r="D1053" s="8">
        <v>534</v>
      </c>
      <c r="E1053" s="8">
        <v>1.1000000000000001</v>
      </c>
    </row>
    <row r="1054" spans="1:5">
      <c r="A1054" s="21">
        <v>46299</v>
      </c>
      <c r="B1054" t="s">
        <v>87</v>
      </c>
      <c r="C1054" s="8">
        <v>250</v>
      </c>
      <c r="D1054" s="8">
        <v>547</v>
      </c>
      <c r="E1054" s="8">
        <v>1.48</v>
      </c>
    </row>
    <row r="1055" spans="1:5">
      <c r="A1055" s="21">
        <v>46299</v>
      </c>
      <c r="B1055" t="s">
        <v>87</v>
      </c>
      <c r="C1055" s="8">
        <v>263</v>
      </c>
      <c r="D1055" s="8">
        <v>554</v>
      </c>
      <c r="E1055" s="8">
        <v>1.42</v>
      </c>
    </row>
    <row r="1056" spans="1:5">
      <c r="A1056" s="21">
        <v>46299</v>
      </c>
      <c r="B1056" t="s">
        <v>87</v>
      </c>
      <c r="C1056" s="8">
        <v>252</v>
      </c>
      <c r="D1056" s="8">
        <v>593</v>
      </c>
      <c r="E1056" s="8">
        <v>1.28</v>
      </c>
    </row>
    <row r="1057" spans="1:5">
      <c r="A1057" s="21">
        <v>46299</v>
      </c>
      <c r="B1057" t="s">
        <v>87</v>
      </c>
      <c r="C1057" s="8">
        <v>276</v>
      </c>
      <c r="D1057" s="8">
        <v>584</v>
      </c>
      <c r="E1057" s="8">
        <v>1.41</v>
      </c>
    </row>
    <row r="1058" spans="1:5">
      <c r="A1058" s="21">
        <v>46299</v>
      </c>
      <c r="B1058" t="s">
        <v>87</v>
      </c>
      <c r="C1058" s="8">
        <v>288</v>
      </c>
      <c r="D1058" s="8">
        <v>592</v>
      </c>
      <c r="E1058" s="8">
        <v>1.19</v>
      </c>
    </row>
    <row r="1059" spans="1:5">
      <c r="A1059" s="21">
        <v>46299</v>
      </c>
      <c r="B1059" t="s">
        <v>87</v>
      </c>
      <c r="C1059" s="8">
        <v>280</v>
      </c>
      <c r="D1059" s="8">
        <v>636</v>
      </c>
      <c r="E1059" s="8">
        <v>1.57</v>
      </c>
    </row>
    <row r="1060" spans="1:5">
      <c r="A1060" s="21">
        <v>46299</v>
      </c>
      <c r="B1060" t="s">
        <v>87</v>
      </c>
      <c r="C1060" s="8">
        <v>304</v>
      </c>
      <c r="D1060" s="8">
        <v>631</v>
      </c>
      <c r="E1060" s="8">
        <v>1.44</v>
      </c>
    </row>
    <row r="1061" spans="1:5">
      <c r="A1061" s="21">
        <v>46299</v>
      </c>
      <c r="B1061" t="s">
        <v>87</v>
      </c>
      <c r="C1061" s="8">
        <v>297</v>
      </c>
      <c r="D1061" s="8">
        <v>659</v>
      </c>
      <c r="E1061" s="8">
        <v>1.65</v>
      </c>
    </row>
    <row r="1062" spans="1:5">
      <c r="A1062" s="21">
        <v>46299</v>
      </c>
      <c r="B1062" t="s">
        <v>87</v>
      </c>
      <c r="C1062" s="8">
        <v>320</v>
      </c>
      <c r="D1062" s="8">
        <v>657</v>
      </c>
      <c r="E1062" s="8">
        <v>1.91</v>
      </c>
    </row>
    <row r="1063" spans="1:5">
      <c r="A1063" s="21">
        <v>46299</v>
      </c>
      <c r="B1063" t="s">
        <v>87</v>
      </c>
      <c r="C1063" s="8">
        <v>333</v>
      </c>
      <c r="D1063" s="8">
        <v>689</v>
      </c>
      <c r="E1063" s="8">
        <v>1.65</v>
      </c>
    </row>
    <row r="1064" spans="1:5">
      <c r="A1064" s="21">
        <v>46299</v>
      </c>
      <c r="B1064" t="s">
        <v>87</v>
      </c>
      <c r="C1064" s="8">
        <v>322</v>
      </c>
      <c r="D1064" s="8">
        <v>690</v>
      </c>
      <c r="E1064" s="8">
        <v>1.62</v>
      </c>
    </row>
    <row r="1065" spans="1:5">
      <c r="A1065" s="21">
        <v>46299</v>
      </c>
      <c r="B1065" t="s">
        <v>87</v>
      </c>
      <c r="C1065" s="8">
        <v>346</v>
      </c>
      <c r="D1065" s="8">
        <v>707</v>
      </c>
      <c r="E1065" s="8">
        <v>1.75</v>
      </c>
    </row>
    <row r="1066" spans="1:5">
      <c r="A1066" s="21">
        <v>46299</v>
      </c>
      <c r="B1066" t="s">
        <v>87</v>
      </c>
      <c r="C1066" s="8">
        <v>358</v>
      </c>
      <c r="D1066" s="8">
        <v>726</v>
      </c>
      <c r="E1066" s="8">
        <v>1.95</v>
      </c>
    </row>
    <row r="1067" spans="1:5">
      <c r="A1067" s="21">
        <v>46299</v>
      </c>
      <c r="B1067" t="s">
        <v>87</v>
      </c>
      <c r="C1067" s="8">
        <v>350</v>
      </c>
      <c r="D1067" s="8">
        <v>721</v>
      </c>
      <c r="E1067" s="8">
        <v>1.7</v>
      </c>
    </row>
    <row r="1068" spans="1:5">
      <c r="A1068" s="21">
        <v>46300</v>
      </c>
      <c r="B1068" t="s">
        <v>87</v>
      </c>
      <c r="C1068" s="8">
        <v>374</v>
      </c>
      <c r="D1068" s="8">
        <v>723</v>
      </c>
      <c r="E1068" s="8">
        <v>2.0099999999999998</v>
      </c>
    </row>
    <row r="1069" spans="1:5">
      <c r="A1069" s="21">
        <v>46300</v>
      </c>
      <c r="B1069" t="s">
        <v>87</v>
      </c>
      <c r="C1069" s="8">
        <v>367</v>
      </c>
      <c r="D1069" s="8">
        <v>755</v>
      </c>
      <c r="E1069" s="8">
        <v>1.81</v>
      </c>
    </row>
    <row r="1070" spans="1:5">
      <c r="A1070" s="21">
        <v>46300</v>
      </c>
      <c r="B1070" t="s">
        <v>87</v>
      </c>
      <c r="C1070" s="8">
        <v>390</v>
      </c>
      <c r="D1070" s="8">
        <v>746</v>
      </c>
      <c r="E1070" s="8">
        <v>1.8</v>
      </c>
    </row>
    <row r="1071" spans="1:5">
      <c r="A1071" s="21">
        <v>46300</v>
      </c>
      <c r="B1071" t="s">
        <v>87</v>
      </c>
      <c r="C1071" s="8">
        <v>403</v>
      </c>
      <c r="D1071" s="8">
        <v>788</v>
      </c>
      <c r="E1071" s="8">
        <v>1.81</v>
      </c>
    </row>
    <row r="1072" spans="1:5">
      <c r="A1072" s="21">
        <v>46300</v>
      </c>
      <c r="B1072" t="s">
        <v>87</v>
      </c>
      <c r="C1072" s="8">
        <v>392</v>
      </c>
      <c r="D1072" s="8">
        <v>817</v>
      </c>
      <c r="E1072" s="8">
        <v>1.89</v>
      </c>
    </row>
    <row r="1073" spans="1:5">
      <c r="A1073" s="21">
        <v>46300</v>
      </c>
      <c r="B1073" t="s">
        <v>87</v>
      </c>
      <c r="C1073" s="8">
        <v>416</v>
      </c>
      <c r="D1073" s="8">
        <v>791</v>
      </c>
      <c r="E1073" s="8">
        <v>2.0699999999999998</v>
      </c>
    </row>
    <row r="1074" spans="1:5">
      <c r="A1074" s="21">
        <v>46300</v>
      </c>
      <c r="B1074" t="s">
        <v>87</v>
      </c>
      <c r="C1074" s="8">
        <v>428</v>
      </c>
      <c r="D1074" s="8">
        <v>816</v>
      </c>
      <c r="E1074" s="8">
        <v>2.0499999999999998</v>
      </c>
    </row>
    <row r="1075" spans="1:5">
      <c r="A1075" s="21">
        <v>46300</v>
      </c>
      <c r="B1075" t="s">
        <v>87</v>
      </c>
      <c r="C1075" s="8">
        <v>420</v>
      </c>
      <c r="D1075" s="8">
        <v>819</v>
      </c>
      <c r="E1075" s="8">
        <v>2.15</v>
      </c>
    </row>
    <row r="1076" spans="1:5">
      <c r="A1076" s="21">
        <v>46300</v>
      </c>
      <c r="B1076" t="s">
        <v>87</v>
      </c>
      <c r="C1076" s="8">
        <v>444</v>
      </c>
      <c r="D1076" s="8">
        <v>829</v>
      </c>
      <c r="E1076" s="8">
        <v>2.06</v>
      </c>
    </row>
    <row r="1077" spans="1:5">
      <c r="A1077" s="21">
        <v>46300</v>
      </c>
      <c r="B1077" t="s">
        <v>87</v>
      </c>
      <c r="C1077" s="8">
        <v>437</v>
      </c>
      <c r="D1077" s="8">
        <v>884</v>
      </c>
      <c r="E1077" s="8">
        <v>2.27</v>
      </c>
    </row>
    <row r="1078" spans="1:5">
      <c r="A1078" s="21">
        <v>46300</v>
      </c>
      <c r="B1078" t="s">
        <v>87</v>
      </c>
      <c r="C1078" s="8">
        <v>460</v>
      </c>
      <c r="D1078" s="8">
        <v>856</v>
      </c>
      <c r="E1078" s="8">
        <v>2.4300000000000002</v>
      </c>
    </row>
    <row r="1079" spans="1:5">
      <c r="A1079" s="21">
        <v>46300</v>
      </c>
      <c r="B1079" t="s">
        <v>87</v>
      </c>
      <c r="C1079" s="8">
        <v>473</v>
      </c>
      <c r="D1079" s="8">
        <v>873</v>
      </c>
      <c r="E1079" s="8">
        <v>2.2200000000000002</v>
      </c>
    </row>
    <row r="1080" spans="1:5">
      <c r="A1080" s="21">
        <v>46300</v>
      </c>
      <c r="B1080" t="s">
        <v>87</v>
      </c>
      <c r="C1080" s="8">
        <v>462</v>
      </c>
      <c r="D1080" s="8">
        <v>925</v>
      </c>
      <c r="E1080" s="8">
        <v>2.42</v>
      </c>
    </row>
    <row r="1081" spans="1:5">
      <c r="A1081" s="21">
        <v>46300</v>
      </c>
      <c r="B1081" t="s">
        <v>87</v>
      </c>
      <c r="C1081" s="8">
        <v>486</v>
      </c>
      <c r="D1081" s="8">
        <v>931</v>
      </c>
      <c r="E1081" s="8">
        <v>2.4700000000000002</v>
      </c>
    </row>
    <row r="1082" spans="1:5">
      <c r="A1082" s="21">
        <v>46300</v>
      </c>
      <c r="B1082" t="s">
        <v>88</v>
      </c>
      <c r="C1082" s="8">
        <v>499</v>
      </c>
      <c r="D1082" s="8">
        <v>914</v>
      </c>
      <c r="E1082" s="8">
        <v>0.89</v>
      </c>
    </row>
    <row r="1083" spans="1:5">
      <c r="A1083" s="21">
        <v>46300</v>
      </c>
      <c r="B1083" t="s">
        <v>88</v>
      </c>
      <c r="C1083" s="8">
        <v>114</v>
      </c>
      <c r="D1083" s="8">
        <v>334</v>
      </c>
      <c r="E1083" s="8">
        <v>0.7</v>
      </c>
    </row>
    <row r="1084" spans="1:5">
      <c r="A1084" s="21">
        <v>46300</v>
      </c>
      <c r="B1084" t="s">
        <v>88</v>
      </c>
      <c r="C1084" s="8">
        <v>130</v>
      </c>
      <c r="D1084" s="8">
        <v>342</v>
      </c>
      <c r="E1084" s="8">
        <v>0.95</v>
      </c>
    </row>
    <row r="1085" spans="1:5">
      <c r="A1085" s="21">
        <v>46300</v>
      </c>
      <c r="B1085" t="s">
        <v>88</v>
      </c>
      <c r="C1085" s="8">
        <v>123</v>
      </c>
      <c r="D1085" s="8">
        <v>349</v>
      </c>
      <c r="E1085" s="8">
        <v>0.87</v>
      </c>
    </row>
    <row r="1086" spans="1:5">
      <c r="A1086" s="21">
        <v>46300</v>
      </c>
      <c r="B1086" t="s">
        <v>88</v>
      </c>
      <c r="C1086" s="8">
        <v>146</v>
      </c>
      <c r="D1086" s="8">
        <v>377</v>
      </c>
      <c r="E1086" s="8">
        <v>1.08</v>
      </c>
    </row>
    <row r="1087" spans="1:5">
      <c r="A1087" s="21">
        <v>46300</v>
      </c>
      <c r="B1087" t="s">
        <v>88</v>
      </c>
      <c r="C1087" s="8">
        <v>158</v>
      </c>
      <c r="D1087" s="8">
        <v>407</v>
      </c>
      <c r="E1087" s="8">
        <v>0.9</v>
      </c>
    </row>
    <row r="1088" spans="1:5">
      <c r="A1088" s="21">
        <v>46300</v>
      </c>
      <c r="B1088" t="s">
        <v>88</v>
      </c>
      <c r="C1088" s="8">
        <v>150</v>
      </c>
      <c r="D1088" s="8">
        <v>392</v>
      </c>
      <c r="E1088" s="8">
        <v>1.17</v>
      </c>
    </row>
    <row r="1089" spans="1:5">
      <c r="A1089" s="21">
        <v>46300</v>
      </c>
      <c r="B1089" t="s">
        <v>88</v>
      </c>
      <c r="C1089" s="8">
        <v>173</v>
      </c>
      <c r="D1089" s="8">
        <v>436</v>
      </c>
      <c r="E1089" s="8">
        <v>1</v>
      </c>
    </row>
    <row r="1090" spans="1:5">
      <c r="A1090" s="21">
        <v>46300</v>
      </c>
      <c r="B1090" t="s">
        <v>88</v>
      </c>
      <c r="C1090" s="8">
        <v>165</v>
      </c>
      <c r="D1090" s="8">
        <v>451</v>
      </c>
      <c r="E1090" s="8">
        <v>0.88</v>
      </c>
    </row>
    <row r="1091" spans="1:5">
      <c r="A1091" s="21">
        <v>46300</v>
      </c>
      <c r="B1091" t="s">
        <v>88</v>
      </c>
      <c r="C1091" s="8">
        <v>188</v>
      </c>
      <c r="D1091" s="8">
        <v>447</v>
      </c>
      <c r="E1091" s="8">
        <v>0.98</v>
      </c>
    </row>
    <row r="1092" spans="1:5">
      <c r="A1092" s="21">
        <v>46300</v>
      </c>
      <c r="B1092" t="s">
        <v>88</v>
      </c>
      <c r="C1092" s="8">
        <v>201</v>
      </c>
      <c r="D1092" s="8">
        <v>473</v>
      </c>
      <c r="E1092" s="8">
        <v>1.02</v>
      </c>
    </row>
    <row r="1093" spans="1:5">
      <c r="A1093" s="21">
        <v>46300</v>
      </c>
      <c r="B1093" t="s">
        <v>88</v>
      </c>
      <c r="C1093" s="8">
        <v>190</v>
      </c>
      <c r="D1093" s="8">
        <v>500</v>
      </c>
      <c r="E1093" s="8">
        <v>0.77</v>
      </c>
    </row>
    <row r="1094" spans="1:5">
      <c r="A1094" s="21">
        <v>46301</v>
      </c>
      <c r="B1094" t="s">
        <v>88</v>
      </c>
      <c r="C1094" s="8">
        <v>214</v>
      </c>
      <c r="D1094" s="8">
        <v>480</v>
      </c>
      <c r="E1094" s="8">
        <v>1.48</v>
      </c>
    </row>
    <row r="1095" spans="1:5">
      <c r="A1095" s="21">
        <v>46301</v>
      </c>
      <c r="B1095" t="s">
        <v>88</v>
      </c>
      <c r="C1095" s="8">
        <v>226</v>
      </c>
      <c r="D1095" s="8">
        <v>526</v>
      </c>
      <c r="E1095" s="8">
        <v>1.31</v>
      </c>
    </row>
    <row r="1096" spans="1:5">
      <c r="A1096" s="21">
        <v>46301</v>
      </c>
      <c r="B1096" t="s">
        <v>88</v>
      </c>
      <c r="C1096" s="8">
        <v>218</v>
      </c>
      <c r="D1096" s="8">
        <v>543</v>
      </c>
      <c r="E1096" s="8">
        <v>1.1200000000000001</v>
      </c>
    </row>
    <row r="1097" spans="1:5">
      <c r="A1097" s="21">
        <v>46301</v>
      </c>
      <c r="B1097" t="s">
        <v>88</v>
      </c>
      <c r="C1097" s="8">
        <v>242</v>
      </c>
      <c r="D1097" s="8">
        <v>538</v>
      </c>
      <c r="E1097" s="8">
        <v>1.47</v>
      </c>
    </row>
    <row r="1098" spans="1:5">
      <c r="A1098" s="21">
        <v>46301</v>
      </c>
      <c r="B1098" t="s">
        <v>88</v>
      </c>
      <c r="C1098" s="8">
        <v>235</v>
      </c>
      <c r="D1098" s="8">
        <v>554</v>
      </c>
      <c r="E1098" s="8">
        <v>1.0900000000000001</v>
      </c>
    </row>
    <row r="1099" spans="1:5">
      <c r="A1099" s="21">
        <v>46301</v>
      </c>
      <c r="B1099" t="s">
        <v>88</v>
      </c>
      <c r="C1099" s="8">
        <v>258</v>
      </c>
      <c r="D1099" s="8">
        <v>565</v>
      </c>
      <c r="E1099" s="8">
        <v>1.47</v>
      </c>
    </row>
    <row r="1100" spans="1:5">
      <c r="A1100" s="21">
        <v>46301</v>
      </c>
      <c r="B1100" t="s">
        <v>88</v>
      </c>
      <c r="C1100" s="8">
        <v>271</v>
      </c>
      <c r="D1100" s="8">
        <v>569</v>
      </c>
      <c r="E1100" s="8">
        <v>1.1200000000000001</v>
      </c>
    </row>
    <row r="1101" spans="1:5">
      <c r="A1101" s="21">
        <v>46301</v>
      </c>
      <c r="B1101" t="s">
        <v>88</v>
      </c>
      <c r="C1101" s="8">
        <v>260</v>
      </c>
      <c r="D1101" s="8">
        <v>577</v>
      </c>
      <c r="E1101" s="8">
        <v>1.19</v>
      </c>
    </row>
    <row r="1102" spans="1:5">
      <c r="A1102" s="21">
        <v>46301</v>
      </c>
      <c r="B1102" t="s">
        <v>88</v>
      </c>
      <c r="C1102" s="8">
        <v>284</v>
      </c>
      <c r="D1102" s="8">
        <v>615</v>
      </c>
      <c r="E1102" s="8">
        <v>1.1599999999999999</v>
      </c>
    </row>
    <row r="1103" spans="1:5">
      <c r="A1103" s="21">
        <v>46301</v>
      </c>
      <c r="B1103" t="s">
        <v>88</v>
      </c>
      <c r="C1103" s="8">
        <v>296</v>
      </c>
      <c r="D1103" s="8">
        <v>604</v>
      </c>
      <c r="E1103" s="8">
        <v>1.31</v>
      </c>
    </row>
    <row r="1104" spans="1:5">
      <c r="A1104" s="21">
        <v>46301</v>
      </c>
      <c r="B1104" t="s">
        <v>88</v>
      </c>
      <c r="C1104" s="8">
        <v>288</v>
      </c>
      <c r="D1104" s="8">
        <v>622</v>
      </c>
      <c r="E1104" s="8">
        <v>1.26</v>
      </c>
    </row>
    <row r="1105" spans="1:5">
      <c r="A1105" s="21">
        <v>46301</v>
      </c>
      <c r="B1105" t="s">
        <v>88</v>
      </c>
      <c r="C1105" s="8">
        <v>312</v>
      </c>
      <c r="D1105" s="8">
        <v>646</v>
      </c>
      <c r="E1105" s="8">
        <v>1.1399999999999999</v>
      </c>
    </row>
    <row r="1106" spans="1:5">
      <c r="A1106" s="21">
        <v>46301</v>
      </c>
      <c r="B1106" t="s">
        <v>88</v>
      </c>
      <c r="C1106" s="8">
        <v>305</v>
      </c>
      <c r="D1106" s="8">
        <v>676</v>
      </c>
      <c r="E1106" s="8">
        <v>1.22</v>
      </c>
    </row>
    <row r="1107" spans="1:5">
      <c r="A1107" s="21">
        <v>46301</v>
      </c>
      <c r="B1107" t="s">
        <v>88</v>
      </c>
      <c r="C1107" s="8">
        <v>328</v>
      </c>
      <c r="D1107" s="8">
        <v>672</v>
      </c>
      <c r="E1107" s="8">
        <v>1.06</v>
      </c>
    </row>
    <row r="1108" spans="1:5">
      <c r="A1108" s="21">
        <v>46301</v>
      </c>
      <c r="B1108" t="s">
        <v>88</v>
      </c>
      <c r="C1108" s="8">
        <v>341</v>
      </c>
      <c r="D1108" s="8">
        <v>688</v>
      </c>
      <c r="E1108" s="8">
        <v>1.47</v>
      </c>
    </row>
    <row r="1109" spans="1:5">
      <c r="A1109" s="21">
        <v>46301</v>
      </c>
      <c r="B1109" t="s">
        <v>88</v>
      </c>
      <c r="C1109" s="8">
        <v>330</v>
      </c>
      <c r="D1109" s="8">
        <v>709</v>
      </c>
      <c r="E1109" s="8">
        <v>1.61</v>
      </c>
    </row>
    <row r="1110" spans="1:5">
      <c r="A1110" s="21">
        <v>46301</v>
      </c>
      <c r="B1110" t="s">
        <v>88</v>
      </c>
      <c r="C1110" s="8">
        <v>354</v>
      </c>
      <c r="D1110" s="8">
        <v>712</v>
      </c>
      <c r="E1110" s="8">
        <v>1.48</v>
      </c>
    </row>
    <row r="1111" spans="1:5">
      <c r="A1111" s="21">
        <v>46301</v>
      </c>
      <c r="B1111" t="s">
        <v>88</v>
      </c>
      <c r="C1111" s="8">
        <v>366</v>
      </c>
      <c r="D1111" s="8">
        <v>709</v>
      </c>
      <c r="E1111" s="8">
        <v>1.41</v>
      </c>
    </row>
    <row r="1112" spans="1:5">
      <c r="A1112" s="21">
        <v>46301</v>
      </c>
      <c r="B1112" t="s">
        <v>88</v>
      </c>
      <c r="C1112" s="8">
        <v>358</v>
      </c>
      <c r="D1112" s="8">
        <v>733</v>
      </c>
      <c r="E1112" s="8">
        <v>1.32</v>
      </c>
    </row>
    <row r="1113" spans="1:5">
      <c r="A1113" s="21">
        <v>46301</v>
      </c>
      <c r="B1113" t="s">
        <v>88</v>
      </c>
      <c r="C1113" s="8">
        <v>382</v>
      </c>
      <c r="D1113" s="8">
        <v>754</v>
      </c>
      <c r="E1113" s="8">
        <v>1.65</v>
      </c>
    </row>
    <row r="1114" spans="1:5">
      <c r="A1114" s="21">
        <v>46301</v>
      </c>
      <c r="B1114" t="s">
        <v>88</v>
      </c>
      <c r="C1114" s="8">
        <v>375</v>
      </c>
      <c r="D1114" s="8">
        <v>794</v>
      </c>
      <c r="E1114" s="8">
        <v>1.1200000000000001</v>
      </c>
    </row>
    <row r="1115" spans="1:5">
      <c r="A1115" s="21">
        <v>46301</v>
      </c>
      <c r="B1115" t="s">
        <v>88</v>
      </c>
      <c r="C1115" s="8">
        <v>398</v>
      </c>
      <c r="D1115" s="8">
        <v>791</v>
      </c>
      <c r="E1115" s="8">
        <v>1.66</v>
      </c>
    </row>
    <row r="1116" spans="1:5">
      <c r="A1116" s="21">
        <v>46301</v>
      </c>
      <c r="B1116" t="s">
        <v>88</v>
      </c>
      <c r="C1116" s="8">
        <v>411</v>
      </c>
      <c r="D1116" s="8">
        <v>780</v>
      </c>
      <c r="E1116" s="8">
        <v>1.43</v>
      </c>
    </row>
    <row r="1117" spans="1:5">
      <c r="A1117" s="21">
        <v>46301</v>
      </c>
      <c r="B1117" t="s">
        <v>88</v>
      </c>
      <c r="C1117" s="8">
        <v>400</v>
      </c>
      <c r="D1117" s="8">
        <v>794</v>
      </c>
      <c r="E1117" s="8">
        <v>1.44</v>
      </c>
    </row>
    <row r="1118" spans="1:5">
      <c r="A1118" s="21">
        <v>46301</v>
      </c>
      <c r="B1118" t="s">
        <v>88</v>
      </c>
      <c r="C1118" s="8">
        <v>424</v>
      </c>
      <c r="D1118" s="8">
        <v>835</v>
      </c>
      <c r="E1118" s="8">
        <v>1.2</v>
      </c>
    </row>
    <row r="1119" spans="1:5">
      <c r="A1119" s="21">
        <v>46301</v>
      </c>
      <c r="B1119" t="s">
        <v>88</v>
      </c>
      <c r="C1119" s="8">
        <v>436</v>
      </c>
      <c r="D1119" s="8">
        <v>842</v>
      </c>
      <c r="E1119" s="8">
        <v>1.48</v>
      </c>
    </row>
    <row r="1120" spans="1:5">
      <c r="A1120" s="21">
        <v>46302</v>
      </c>
      <c r="B1120" t="s">
        <v>88</v>
      </c>
      <c r="C1120" s="8">
        <v>428</v>
      </c>
      <c r="D1120" s="8">
        <v>853</v>
      </c>
      <c r="E1120" s="8">
        <v>1.37</v>
      </c>
    </row>
    <row r="1121" spans="1:5">
      <c r="A1121" s="21">
        <v>46302</v>
      </c>
      <c r="B1121" t="s">
        <v>88</v>
      </c>
      <c r="C1121" s="8">
        <v>452</v>
      </c>
      <c r="D1121" s="8">
        <v>870</v>
      </c>
      <c r="E1121" s="8">
        <v>1.86</v>
      </c>
    </row>
    <row r="1122" spans="1:5">
      <c r="A1122" s="21">
        <v>46302</v>
      </c>
      <c r="B1122" t="s">
        <v>88</v>
      </c>
      <c r="C1122" s="8">
        <v>445</v>
      </c>
      <c r="D1122" s="8">
        <v>900</v>
      </c>
      <c r="E1122" s="8">
        <v>1.66</v>
      </c>
    </row>
    <row r="1123" spans="1:5">
      <c r="A1123" s="21">
        <v>46302</v>
      </c>
      <c r="B1123" t="s">
        <v>88</v>
      </c>
      <c r="C1123" s="8">
        <v>468</v>
      </c>
      <c r="D1123" s="8">
        <v>880</v>
      </c>
      <c r="E1123" s="8">
        <v>1.61</v>
      </c>
    </row>
    <row r="1124" spans="1:5">
      <c r="A1124" s="21">
        <v>46302</v>
      </c>
      <c r="B1124" t="s">
        <v>88</v>
      </c>
      <c r="C1124" s="8">
        <v>481</v>
      </c>
      <c r="D1124" s="8">
        <v>894</v>
      </c>
      <c r="E1124" s="8">
        <v>1.81</v>
      </c>
    </row>
    <row r="1125" spans="1:5">
      <c r="A1125" s="21">
        <v>46302</v>
      </c>
      <c r="B1125" t="s">
        <v>88</v>
      </c>
      <c r="C1125" s="8">
        <v>470</v>
      </c>
      <c r="D1125" s="8">
        <v>927</v>
      </c>
      <c r="E1125" s="8">
        <v>1.78</v>
      </c>
    </row>
    <row r="1126" spans="1:5">
      <c r="A1126" s="21">
        <v>46302</v>
      </c>
      <c r="B1126" t="s">
        <v>88</v>
      </c>
      <c r="C1126" s="8">
        <v>494</v>
      </c>
      <c r="D1126" s="8">
        <v>934</v>
      </c>
      <c r="E1126" s="8">
        <v>1.47</v>
      </c>
    </row>
    <row r="1127" spans="1:5">
      <c r="A1127" s="21">
        <v>46302</v>
      </c>
      <c r="B1127" t="s">
        <v>89</v>
      </c>
      <c r="C1127" s="8">
        <v>498</v>
      </c>
      <c r="D1127" s="8">
        <v>954</v>
      </c>
      <c r="E1127" s="8">
        <v>0.65</v>
      </c>
    </row>
    <row r="1128" spans="1:5">
      <c r="A1128" s="21">
        <v>46302</v>
      </c>
      <c r="B1128" t="s">
        <v>89</v>
      </c>
      <c r="C1128" s="8">
        <v>102</v>
      </c>
      <c r="D1128" s="8">
        <v>350</v>
      </c>
      <c r="E1128" s="8">
        <v>1.02</v>
      </c>
    </row>
    <row r="1129" spans="1:5">
      <c r="A1129" s="21">
        <v>46302</v>
      </c>
      <c r="B1129" t="s">
        <v>89</v>
      </c>
      <c r="C1129" s="8">
        <v>119</v>
      </c>
      <c r="D1129" s="8">
        <v>353</v>
      </c>
      <c r="E1129" s="8">
        <v>1.1299999999999999</v>
      </c>
    </row>
    <row r="1130" spans="1:5">
      <c r="A1130" s="21">
        <v>46302</v>
      </c>
      <c r="B1130" t="s">
        <v>89</v>
      </c>
      <c r="C1130" s="8">
        <v>112</v>
      </c>
      <c r="D1130" s="8">
        <v>409</v>
      </c>
      <c r="E1130" s="8">
        <v>1.03</v>
      </c>
    </row>
    <row r="1131" spans="1:5">
      <c r="A1131" s="21">
        <v>46302</v>
      </c>
      <c r="B1131" t="s">
        <v>89</v>
      </c>
      <c r="C1131" s="8">
        <v>135</v>
      </c>
      <c r="D1131" s="8">
        <v>422</v>
      </c>
      <c r="E1131" s="8">
        <v>0.92</v>
      </c>
    </row>
    <row r="1132" spans="1:5">
      <c r="A1132" s="21">
        <v>46302</v>
      </c>
      <c r="B1132" t="s">
        <v>89</v>
      </c>
      <c r="C1132" s="8">
        <v>147</v>
      </c>
      <c r="D1132" s="8">
        <v>396</v>
      </c>
      <c r="E1132" s="8">
        <v>1.28</v>
      </c>
    </row>
    <row r="1133" spans="1:5">
      <c r="A1133" s="21">
        <v>46302</v>
      </c>
      <c r="B1133" t="s">
        <v>89</v>
      </c>
      <c r="C1133" s="8">
        <v>139</v>
      </c>
      <c r="D1133" s="8">
        <v>435</v>
      </c>
      <c r="E1133" s="8">
        <v>1.0900000000000001</v>
      </c>
    </row>
    <row r="1134" spans="1:5">
      <c r="A1134" s="21">
        <v>46302</v>
      </c>
      <c r="B1134" t="s">
        <v>89</v>
      </c>
      <c r="C1134" s="8">
        <v>162</v>
      </c>
      <c r="D1134" s="8">
        <v>442</v>
      </c>
      <c r="E1134" s="8">
        <v>1.1599999999999999</v>
      </c>
    </row>
    <row r="1135" spans="1:5">
      <c r="A1135" s="21">
        <v>46302</v>
      </c>
      <c r="B1135" t="s">
        <v>89</v>
      </c>
      <c r="C1135" s="8">
        <v>154</v>
      </c>
      <c r="D1135" s="8">
        <v>441</v>
      </c>
      <c r="E1135" s="8">
        <v>1.47</v>
      </c>
    </row>
    <row r="1136" spans="1:5">
      <c r="A1136" s="21">
        <v>46302</v>
      </c>
      <c r="B1136" t="s">
        <v>89</v>
      </c>
      <c r="C1136" s="8">
        <v>177</v>
      </c>
      <c r="D1136" s="8">
        <v>489</v>
      </c>
      <c r="E1136" s="8">
        <v>1.05</v>
      </c>
    </row>
    <row r="1137" spans="1:5">
      <c r="A1137" s="21">
        <v>46302</v>
      </c>
      <c r="B1137" t="s">
        <v>89</v>
      </c>
      <c r="C1137" s="8">
        <v>190</v>
      </c>
      <c r="D1137" s="8">
        <v>497</v>
      </c>
      <c r="E1137" s="8">
        <v>1.05</v>
      </c>
    </row>
    <row r="1138" spans="1:5">
      <c r="A1138" s="21">
        <v>46302</v>
      </c>
      <c r="B1138" t="s">
        <v>89</v>
      </c>
      <c r="C1138" s="8">
        <v>179</v>
      </c>
      <c r="D1138" s="8">
        <v>487</v>
      </c>
      <c r="E1138" s="8">
        <v>1.37</v>
      </c>
    </row>
    <row r="1139" spans="1:5">
      <c r="A1139" s="21">
        <v>46302</v>
      </c>
      <c r="B1139" t="s">
        <v>89</v>
      </c>
      <c r="C1139" s="8">
        <v>203</v>
      </c>
      <c r="D1139" s="8">
        <v>511</v>
      </c>
      <c r="E1139" s="8">
        <v>1.5</v>
      </c>
    </row>
    <row r="1140" spans="1:5">
      <c r="A1140" s="21">
        <v>46302</v>
      </c>
      <c r="B1140" t="s">
        <v>89</v>
      </c>
      <c r="C1140" s="8">
        <v>215</v>
      </c>
      <c r="D1140" s="8">
        <v>523</v>
      </c>
      <c r="E1140" s="8">
        <v>1.57</v>
      </c>
    </row>
    <row r="1141" spans="1:5">
      <c r="A1141" s="21">
        <v>46302</v>
      </c>
      <c r="B1141" t="s">
        <v>89</v>
      </c>
      <c r="C1141" s="8">
        <v>207</v>
      </c>
      <c r="D1141" s="8">
        <v>520</v>
      </c>
      <c r="E1141" s="8">
        <v>1.54</v>
      </c>
    </row>
    <row r="1142" spans="1:5">
      <c r="A1142" s="21">
        <v>46302</v>
      </c>
      <c r="B1142" t="s">
        <v>89</v>
      </c>
      <c r="C1142" s="8">
        <v>231</v>
      </c>
      <c r="D1142" s="8">
        <v>554</v>
      </c>
      <c r="E1142" s="8">
        <v>1.27</v>
      </c>
    </row>
    <row r="1143" spans="1:5">
      <c r="A1143" s="21">
        <v>46302</v>
      </c>
      <c r="B1143" t="s">
        <v>89</v>
      </c>
      <c r="C1143" s="8">
        <v>224</v>
      </c>
      <c r="D1143" s="8">
        <v>552</v>
      </c>
      <c r="E1143" s="8">
        <v>1.54</v>
      </c>
    </row>
    <row r="1144" spans="1:5">
      <c r="A1144" s="21">
        <v>46302</v>
      </c>
      <c r="B1144" t="s">
        <v>89</v>
      </c>
      <c r="C1144" s="8">
        <v>247</v>
      </c>
      <c r="D1144" s="8">
        <v>586</v>
      </c>
      <c r="E1144" s="8">
        <v>1.42</v>
      </c>
    </row>
    <row r="1145" spans="1:5">
      <c r="A1145" s="21">
        <v>46302</v>
      </c>
      <c r="B1145" t="s">
        <v>89</v>
      </c>
      <c r="C1145" s="8">
        <v>260</v>
      </c>
      <c r="D1145" s="8">
        <v>597</v>
      </c>
      <c r="E1145" s="8">
        <v>1.34</v>
      </c>
    </row>
    <row r="1146" spans="1:5">
      <c r="A1146" s="21">
        <v>46303</v>
      </c>
      <c r="B1146" t="s">
        <v>89</v>
      </c>
      <c r="C1146" s="8">
        <v>249</v>
      </c>
      <c r="D1146" s="8">
        <v>628</v>
      </c>
      <c r="E1146" s="8">
        <v>1.99</v>
      </c>
    </row>
    <row r="1147" spans="1:5">
      <c r="A1147" s="21">
        <v>46303</v>
      </c>
      <c r="B1147" t="s">
        <v>89</v>
      </c>
      <c r="C1147" s="8">
        <v>273</v>
      </c>
      <c r="D1147" s="8">
        <v>603</v>
      </c>
      <c r="E1147" s="8">
        <v>1.63</v>
      </c>
    </row>
    <row r="1148" spans="1:5">
      <c r="A1148" s="21">
        <v>46303</v>
      </c>
      <c r="B1148" t="s">
        <v>89</v>
      </c>
      <c r="C1148" s="8">
        <v>285</v>
      </c>
      <c r="D1148" s="8">
        <v>623</v>
      </c>
      <c r="E1148" s="8">
        <v>1.68</v>
      </c>
    </row>
    <row r="1149" spans="1:5">
      <c r="A1149" s="21">
        <v>46303</v>
      </c>
      <c r="B1149" t="s">
        <v>89</v>
      </c>
      <c r="C1149" s="8">
        <v>277</v>
      </c>
      <c r="D1149" s="8">
        <v>634</v>
      </c>
      <c r="E1149" s="8">
        <v>1.62</v>
      </c>
    </row>
    <row r="1150" spans="1:5">
      <c r="A1150" s="21">
        <v>46303</v>
      </c>
      <c r="B1150" t="s">
        <v>89</v>
      </c>
      <c r="C1150" s="8">
        <v>301</v>
      </c>
      <c r="D1150" s="8">
        <v>677</v>
      </c>
      <c r="E1150" s="8">
        <v>2.02</v>
      </c>
    </row>
    <row r="1151" spans="1:5">
      <c r="A1151" s="21">
        <v>46303</v>
      </c>
      <c r="B1151" t="s">
        <v>89</v>
      </c>
      <c r="C1151" s="8">
        <v>294</v>
      </c>
      <c r="D1151" s="8">
        <v>673</v>
      </c>
      <c r="E1151" s="8">
        <v>1.75</v>
      </c>
    </row>
    <row r="1152" spans="1:5">
      <c r="A1152" s="21">
        <v>46303</v>
      </c>
      <c r="B1152" t="s">
        <v>89</v>
      </c>
      <c r="C1152" s="8">
        <v>317</v>
      </c>
      <c r="D1152" s="8">
        <v>682</v>
      </c>
      <c r="E1152" s="8">
        <v>1.42</v>
      </c>
    </row>
    <row r="1153" spans="1:5">
      <c r="A1153" s="21">
        <v>46303</v>
      </c>
      <c r="B1153" t="s">
        <v>89</v>
      </c>
      <c r="C1153" s="8">
        <v>330</v>
      </c>
      <c r="D1153" s="8">
        <v>691</v>
      </c>
      <c r="E1153" s="8">
        <v>1.81</v>
      </c>
    </row>
    <row r="1154" spans="1:5">
      <c r="A1154" s="21">
        <v>46303</v>
      </c>
      <c r="B1154" t="s">
        <v>89</v>
      </c>
      <c r="C1154" s="8">
        <v>319</v>
      </c>
      <c r="D1154" s="8">
        <v>701</v>
      </c>
      <c r="E1154" s="8">
        <v>1.88</v>
      </c>
    </row>
    <row r="1155" spans="1:5">
      <c r="A1155" s="21">
        <v>46303</v>
      </c>
      <c r="B1155" t="s">
        <v>89</v>
      </c>
      <c r="C1155" s="8">
        <v>343</v>
      </c>
      <c r="D1155" s="8">
        <v>731</v>
      </c>
      <c r="E1155" s="8">
        <v>2.06</v>
      </c>
    </row>
    <row r="1156" spans="1:5">
      <c r="A1156" s="21">
        <v>46303</v>
      </c>
      <c r="B1156" t="s">
        <v>89</v>
      </c>
      <c r="C1156" s="8">
        <v>355</v>
      </c>
      <c r="D1156" s="8">
        <v>746</v>
      </c>
      <c r="E1156" s="8">
        <v>1.93</v>
      </c>
    </row>
    <row r="1157" spans="1:5">
      <c r="A1157" s="21">
        <v>46303</v>
      </c>
      <c r="B1157" t="s">
        <v>89</v>
      </c>
      <c r="C1157" s="8">
        <v>347</v>
      </c>
      <c r="D1157" s="8">
        <v>773</v>
      </c>
      <c r="E1157" s="8">
        <v>2.15</v>
      </c>
    </row>
    <row r="1158" spans="1:5">
      <c r="A1158" s="21">
        <v>46303</v>
      </c>
      <c r="B1158" t="s">
        <v>89</v>
      </c>
      <c r="C1158" s="8">
        <v>371</v>
      </c>
      <c r="D1158" s="8">
        <v>789</v>
      </c>
      <c r="E1158" s="8">
        <v>2.02</v>
      </c>
    </row>
    <row r="1159" spans="1:5">
      <c r="A1159" s="21">
        <v>46303</v>
      </c>
      <c r="B1159" t="s">
        <v>89</v>
      </c>
      <c r="C1159" s="8">
        <v>364</v>
      </c>
      <c r="D1159" s="8">
        <v>779</v>
      </c>
      <c r="E1159" s="8">
        <v>1.97</v>
      </c>
    </row>
    <row r="1160" spans="1:5">
      <c r="A1160" s="21">
        <v>46303</v>
      </c>
      <c r="B1160" t="s">
        <v>89</v>
      </c>
      <c r="C1160" s="8">
        <v>387</v>
      </c>
      <c r="D1160" s="8">
        <v>784</v>
      </c>
      <c r="E1160" s="8">
        <v>2.14</v>
      </c>
    </row>
    <row r="1161" spans="1:5">
      <c r="A1161" s="21">
        <v>46303</v>
      </c>
      <c r="B1161" t="s">
        <v>89</v>
      </c>
      <c r="C1161" s="8">
        <v>400</v>
      </c>
      <c r="D1161" s="8">
        <v>799</v>
      </c>
      <c r="E1161" s="8">
        <v>2.12</v>
      </c>
    </row>
    <row r="1162" spans="1:5">
      <c r="A1162" s="21">
        <v>46303</v>
      </c>
      <c r="B1162" t="s">
        <v>89</v>
      </c>
      <c r="C1162" s="8">
        <v>389</v>
      </c>
      <c r="D1162" s="8">
        <v>842</v>
      </c>
      <c r="E1162" s="8">
        <v>2.34</v>
      </c>
    </row>
    <row r="1163" spans="1:5">
      <c r="A1163" s="21">
        <v>46303</v>
      </c>
      <c r="B1163" t="s">
        <v>89</v>
      </c>
      <c r="C1163" s="8">
        <v>413</v>
      </c>
      <c r="D1163" s="8">
        <v>835</v>
      </c>
      <c r="E1163" s="8">
        <v>2.13</v>
      </c>
    </row>
    <row r="1164" spans="1:5">
      <c r="A1164" s="21">
        <v>46303</v>
      </c>
      <c r="B1164" t="s">
        <v>89</v>
      </c>
      <c r="C1164" s="8">
        <v>425</v>
      </c>
      <c r="D1164" s="8">
        <v>873</v>
      </c>
      <c r="E1164" s="8">
        <v>2.33</v>
      </c>
    </row>
    <row r="1165" spans="1:5">
      <c r="A1165" s="21">
        <v>46303</v>
      </c>
      <c r="B1165" t="s">
        <v>89</v>
      </c>
      <c r="C1165" s="8">
        <v>417</v>
      </c>
      <c r="D1165" s="8">
        <v>857</v>
      </c>
      <c r="E1165" s="8">
        <v>2.21</v>
      </c>
    </row>
    <row r="1166" spans="1:5">
      <c r="A1166" s="21">
        <v>46303</v>
      </c>
      <c r="B1166" t="s">
        <v>89</v>
      </c>
      <c r="C1166" s="8">
        <v>441</v>
      </c>
      <c r="D1166" s="8">
        <v>909</v>
      </c>
      <c r="E1166" s="8">
        <v>2.2599999999999998</v>
      </c>
    </row>
    <row r="1167" spans="1:5">
      <c r="A1167" s="21">
        <v>46303</v>
      </c>
      <c r="B1167" t="s">
        <v>89</v>
      </c>
      <c r="C1167" s="8">
        <v>434</v>
      </c>
      <c r="D1167" s="8">
        <v>918</v>
      </c>
      <c r="E1167" s="8">
        <v>2.2400000000000002</v>
      </c>
    </row>
    <row r="1168" spans="1:5">
      <c r="A1168" s="21">
        <v>46303</v>
      </c>
      <c r="B1168" t="s">
        <v>89</v>
      </c>
      <c r="C1168" s="8">
        <v>457</v>
      </c>
      <c r="D1168" s="8">
        <v>897</v>
      </c>
      <c r="E1168" s="8">
        <v>2.41</v>
      </c>
    </row>
    <row r="1169" spans="1:5">
      <c r="A1169" s="21">
        <v>46303</v>
      </c>
      <c r="B1169" t="s">
        <v>89</v>
      </c>
      <c r="C1169" s="8">
        <v>470</v>
      </c>
      <c r="D1169" s="8">
        <v>928</v>
      </c>
      <c r="E1169" s="8">
        <v>2.57</v>
      </c>
    </row>
    <row r="1170" spans="1:5">
      <c r="A1170" s="21">
        <v>46303</v>
      </c>
      <c r="B1170" t="s">
        <v>89</v>
      </c>
      <c r="C1170" s="8">
        <v>459</v>
      </c>
      <c r="D1170" s="8">
        <v>924</v>
      </c>
      <c r="E1170" s="8">
        <v>2.4700000000000002</v>
      </c>
    </row>
    <row r="1171" spans="1:5">
      <c r="A1171" s="21">
        <v>46303</v>
      </c>
      <c r="B1171" t="s">
        <v>89</v>
      </c>
      <c r="C1171" s="8">
        <v>483</v>
      </c>
      <c r="D1171" s="8">
        <v>954</v>
      </c>
      <c r="E1171" s="8">
        <v>2.44</v>
      </c>
    </row>
  </sheetData>
  <sortState xmlns:xlrd2="http://schemas.microsoft.com/office/spreadsheetml/2017/richdata2" ref="B2:B1171">
    <sortCondition ref="B2:B117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3B612-02C1-EF45-97BF-8D189EE0EAD4}">
  <dimension ref="A1:M28"/>
  <sheetViews>
    <sheetView tabSelected="1" workbookViewId="0">
      <selection activeCell="K30" sqref="K30"/>
    </sheetView>
  </sheetViews>
  <sheetFormatPr defaultColWidth="11" defaultRowHeight="15.75" customHeight="1"/>
  <cols>
    <col min="1" max="1" width="10.375" bestFit="1" customWidth="1"/>
    <col min="2" max="2" width="10.125" bestFit="1" customWidth="1"/>
    <col min="3" max="3" width="14.5" bestFit="1" customWidth="1"/>
    <col min="4" max="4" width="15.875" bestFit="1" customWidth="1"/>
    <col min="5" max="5" width="17" bestFit="1" customWidth="1"/>
    <col min="6" max="6" width="14.875" bestFit="1" customWidth="1"/>
    <col min="7" max="7" width="15.875" bestFit="1" customWidth="1"/>
    <col min="8" max="8" width="16.375" bestFit="1" customWidth="1"/>
    <col min="9" max="10" width="15.125" customWidth="1"/>
  </cols>
  <sheetData>
    <row r="1" spans="1:13">
      <c r="A1" s="35" t="s">
        <v>51</v>
      </c>
      <c r="B1" s="36"/>
      <c r="C1" s="36"/>
      <c r="D1" s="36"/>
      <c r="E1" s="36"/>
      <c r="F1" s="36"/>
      <c r="G1" s="36"/>
      <c r="H1" s="36"/>
      <c r="I1" s="19"/>
      <c r="J1" s="19"/>
    </row>
    <row r="2" spans="1:13">
      <c r="A2" s="15" t="s">
        <v>5</v>
      </c>
      <c r="B2" s="16" t="s">
        <v>6</v>
      </c>
      <c r="C2" s="16" t="s">
        <v>52</v>
      </c>
      <c r="D2" s="16" t="s">
        <v>53</v>
      </c>
      <c r="E2" s="16" t="s">
        <v>54</v>
      </c>
      <c r="F2" s="16" t="s">
        <v>55</v>
      </c>
      <c r="G2" s="15" t="s">
        <v>56</v>
      </c>
      <c r="H2" s="17" t="s">
        <v>57</v>
      </c>
      <c r="I2" s="11" t="s">
        <v>7</v>
      </c>
      <c r="J2" s="11" t="s">
        <v>8</v>
      </c>
      <c r="K2" s="2" t="s">
        <v>9</v>
      </c>
      <c r="L2" s="18" t="s">
        <v>58</v>
      </c>
      <c r="M2" s="18" t="s">
        <v>59</v>
      </c>
    </row>
    <row r="3" spans="1:13">
      <c r="A3" s="10"/>
      <c r="B3" s="10"/>
      <c r="C3" s="11"/>
      <c r="D3" s="11"/>
      <c r="E3" s="11"/>
      <c r="F3" s="11"/>
      <c r="G3" s="11"/>
      <c r="H3" s="11"/>
      <c r="I3" s="11">
        <v>14.3</v>
      </c>
      <c r="J3" s="11">
        <v>16</v>
      </c>
      <c r="K3" s="2">
        <v>15.2</v>
      </c>
      <c r="L3" t="s">
        <v>81</v>
      </c>
      <c r="M3" s="20">
        <v>46290</v>
      </c>
    </row>
    <row r="4" spans="1:13">
      <c r="A4" s="8"/>
      <c r="B4" s="8"/>
      <c r="C4" s="9"/>
      <c r="D4" s="9"/>
      <c r="E4" s="9"/>
      <c r="F4" s="9"/>
      <c r="G4" s="9"/>
      <c r="H4" s="9"/>
      <c r="I4" s="11">
        <v>12.5</v>
      </c>
      <c r="J4" s="11">
        <v>14.3</v>
      </c>
      <c r="K4" s="2">
        <v>12.3</v>
      </c>
      <c r="L4" t="s">
        <v>82</v>
      </c>
      <c r="M4" s="20">
        <v>46290</v>
      </c>
    </row>
    <row r="5" spans="1:13">
      <c r="A5" s="10"/>
      <c r="B5" s="10"/>
      <c r="C5" s="11"/>
      <c r="D5" s="11"/>
      <c r="E5" s="11"/>
      <c r="F5" s="11"/>
      <c r="G5" s="11"/>
      <c r="H5" s="11"/>
      <c r="I5" s="11">
        <v>13.4</v>
      </c>
      <c r="J5" s="11">
        <v>14.7</v>
      </c>
      <c r="K5" s="2">
        <v>14.6</v>
      </c>
      <c r="L5" t="s">
        <v>83</v>
      </c>
      <c r="M5" s="20">
        <v>46290</v>
      </c>
    </row>
    <row r="6" spans="1:13">
      <c r="A6" s="8"/>
      <c r="B6" s="8"/>
      <c r="C6" s="9"/>
      <c r="D6" s="9"/>
      <c r="E6" s="9"/>
      <c r="F6" s="9"/>
      <c r="G6" s="9"/>
      <c r="H6" s="9"/>
      <c r="I6" s="11">
        <v>16.3</v>
      </c>
      <c r="J6" s="11">
        <v>17</v>
      </c>
      <c r="K6" s="2">
        <v>16.100000000000001</v>
      </c>
      <c r="L6" t="s">
        <v>84</v>
      </c>
      <c r="M6" s="20">
        <v>46290</v>
      </c>
    </row>
    <row r="7" spans="1:13">
      <c r="A7" s="10"/>
      <c r="B7" s="10"/>
      <c r="C7" s="11"/>
      <c r="D7" s="11"/>
      <c r="E7" s="11"/>
      <c r="F7" s="11"/>
      <c r="G7" s="11"/>
      <c r="H7" s="11"/>
      <c r="I7" s="11">
        <v>17.8</v>
      </c>
      <c r="J7" s="11">
        <v>19</v>
      </c>
      <c r="K7" s="2">
        <v>17.5</v>
      </c>
      <c r="L7" t="s">
        <v>85</v>
      </c>
      <c r="M7" s="20">
        <v>46290</v>
      </c>
    </row>
    <row r="8" spans="1:13">
      <c r="A8" s="8"/>
      <c r="B8" s="8"/>
      <c r="C8" s="9"/>
      <c r="D8" s="9"/>
      <c r="E8" s="9"/>
      <c r="F8" s="9"/>
      <c r="G8" s="9"/>
      <c r="H8" s="9"/>
      <c r="I8" s="11">
        <v>13.8</v>
      </c>
      <c r="J8" s="11">
        <v>15.6</v>
      </c>
      <c r="K8" s="2">
        <v>13.4</v>
      </c>
      <c r="L8" t="s">
        <v>86</v>
      </c>
      <c r="M8" s="20">
        <v>46290</v>
      </c>
    </row>
    <row r="9" spans="1:13">
      <c r="A9" s="10"/>
      <c r="B9" s="10"/>
      <c r="C9" s="11"/>
      <c r="D9" s="11"/>
      <c r="E9" s="11"/>
      <c r="F9" s="11"/>
      <c r="G9" s="11"/>
      <c r="H9" s="11"/>
      <c r="I9" s="11">
        <v>14.2</v>
      </c>
      <c r="J9" s="11">
        <v>16.100000000000001</v>
      </c>
      <c r="K9" s="2">
        <v>15</v>
      </c>
      <c r="L9" t="s">
        <v>87</v>
      </c>
      <c r="M9" s="20">
        <v>46290</v>
      </c>
    </row>
    <row r="10" spans="1:13">
      <c r="A10" s="8"/>
      <c r="B10" s="8"/>
      <c r="C10" s="9"/>
      <c r="D10" s="9"/>
      <c r="E10" s="9"/>
      <c r="F10" s="9"/>
      <c r="G10" s="9"/>
      <c r="H10" s="9"/>
      <c r="I10" s="11">
        <v>15.1</v>
      </c>
      <c r="J10" s="11">
        <v>16.3</v>
      </c>
      <c r="K10" s="2">
        <v>15.8</v>
      </c>
      <c r="L10" t="s">
        <v>88</v>
      </c>
      <c r="M10" s="20">
        <v>46290</v>
      </c>
    </row>
    <row r="11" spans="1:13">
      <c r="A11" s="10"/>
      <c r="B11" s="10"/>
      <c r="C11" s="11"/>
      <c r="D11" s="11"/>
      <c r="E11" s="11"/>
      <c r="F11" s="11"/>
      <c r="G11" s="11"/>
      <c r="H11" s="11"/>
      <c r="I11" s="11">
        <v>17.600000000000001</v>
      </c>
      <c r="J11" s="11">
        <v>18.5</v>
      </c>
      <c r="K11" s="2">
        <v>18.2</v>
      </c>
      <c r="L11" t="s">
        <v>89</v>
      </c>
      <c r="M11" s="20">
        <v>46290</v>
      </c>
    </row>
    <row r="12" spans="1:13">
      <c r="A12" s="8"/>
      <c r="B12" s="8"/>
      <c r="C12" s="9"/>
      <c r="D12" s="9"/>
      <c r="E12" s="9"/>
      <c r="F12" s="9"/>
      <c r="G12" s="9"/>
      <c r="H12" s="9"/>
      <c r="I12" s="11">
        <v>13.5</v>
      </c>
      <c r="J12" s="11">
        <v>15.8</v>
      </c>
      <c r="K12" s="2">
        <v>12.8</v>
      </c>
      <c r="L12" t="s">
        <v>90</v>
      </c>
      <c r="M12" s="20">
        <v>46290</v>
      </c>
    </row>
    <row r="13" spans="1:13">
      <c r="A13" s="10"/>
      <c r="B13" s="10"/>
      <c r="C13" s="11"/>
      <c r="D13" s="11"/>
      <c r="E13" s="11"/>
      <c r="F13" s="11"/>
      <c r="G13" s="11"/>
      <c r="H13" s="11"/>
      <c r="I13" s="11">
        <v>16.100000000000001</v>
      </c>
      <c r="J13" s="11">
        <v>17.2</v>
      </c>
      <c r="K13" s="2">
        <v>16.7</v>
      </c>
      <c r="L13" t="s">
        <v>91</v>
      </c>
      <c r="M13" s="20">
        <v>46290</v>
      </c>
    </row>
    <row r="14" spans="1:13">
      <c r="A14" s="8"/>
      <c r="B14" s="8"/>
      <c r="C14" s="9"/>
      <c r="D14" s="9"/>
      <c r="E14" s="9"/>
      <c r="F14" s="9"/>
      <c r="G14" s="9"/>
      <c r="H14" s="9"/>
      <c r="I14" s="11">
        <v>14.7</v>
      </c>
      <c r="J14" s="11">
        <v>16.399999999999999</v>
      </c>
      <c r="K14" s="2">
        <v>14</v>
      </c>
      <c r="L14" t="s">
        <v>92</v>
      </c>
      <c r="M14" s="20">
        <v>46290</v>
      </c>
    </row>
    <row r="15" spans="1:13">
      <c r="A15" s="10"/>
      <c r="B15" s="10"/>
      <c r="C15" s="11"/>
      <c r="D15" s="11"/>
      <c r="E15" s="11"/>
      <c r="F15" s="11"/>
      <c r="G15" s="11"/>
      <c r="H15" s="11"/>
      <c r="I15" s="11">
        <v>14.5</v>
      </c>
      <c r="J15" s="11">
        <v>16.8</v>
      </c>
      <c r="K15" s="2">
        <v>15.1</v>
      </c>
      <c r="L15" t="s">
        <v>93</v>
      </c>
      <c r="M15" s="20">
        <v>46290</v>
      </c>
    </row>
    <row r="16" spans="1:13">
      <c r="A16" s="8"/>
      <c r="B16" s="8"/>
      <c r="C16" s="9"/>
      <c r="D16" s="9"/>
      <c r="E16" s="9"/>
      <c r="F16" s="9"/>
      <c r="G16" s="9"/>
      <c r="H16" s="9"/>
      <c r="I16" s="11">
        <v>14.1</v>
      </c>
      <c r="J16" s="11">
        <v>17.2</v>
      </c>
      <c r="K16" s="2">
        <v>13.7</v>
      </c>
      <c r="L16" t="s">
        <v>94</v>
      </c>
      <c r="M16" s="20">
        <v>46290</v>
      </c>
    </row>
    <row r="17" spans="1:13">
      <c r="A17" s="10"/>
      <c r="B17" s="10"/>
      <c r="C17" s="11"/>
      <c r="D17" s="11"/>
      <c r="E17" s="11"/>
      <c r="F17" s="11"/>
      <c r="G17" s="11"/>
      <c r="H17" s="11"/>
      <c r="I17" s="11">
        <v>10.4</v>
      </c>
      <c r="J17" s="11">
        <v>14.8</v>
      </c>
      <c r="K17" s="2">
        <v>9.8000000000000007</v>
      </c>
      <c r="L17" t="s">
        <v>95</v>
      </c>
      <c r="M17" s="20">
        <v>46290</v>
      </c>
    </row>
    <row r="18" spans="1:13">
      <c r="A18" s="8"/>
      <c r="B18" s="8"/>
      <c r="C18" s="9"/>
      <c r="D18" s="9"/>
      <c r="E18" s="9"/>
      <c r="F18" s="9"/>
      <c r="G18" s="9"/>
      <c r="H18" s="9"/>
      <c r="I18" s="11">
        <v>15.3</v>
      </c>
      <c r="J18" s="11">
        <v>16.2</v>
      </c>
      <c r="K18" s="2">
        <v>15.8</v>
      </c>
      <c r="L18" t="s">
        <v>96</v>
      </c>
      <c r="M18" s="20">
        <v>46290</v>
      </c>
    </row>
    <row r="19" spans="1:13">
      <c r="A19" s="10"/>
      <c r="B19" s="10"/>
      <c r="C19" s="11"/>
      <c r="D19" s="11"/>
      <c r="E19" s="11"/>
      <c r="F19" s="11"/>
      <c r="G19" s="11"/>
      <c r="H19" s="11"/>
      <c r="I19" s="11">
        <v>13.2</v>
      </c>
      <c r="J19" s="11">
        <v>13.5</v>
      </c>
      <c r="K19" s="2">
        <v>12.9</v>
      </c>
      <c r="L19" t="s">
        <v>97</v>
      </c>
      <c r="M19" s="20">
        <v>46290</v>
      </c>
    </row>
    <row r="20" spans="1:13">
      <c r="A20" s="8"/>
      <c r="B20" s="8"/>
      <c r="C20" s="9"/>
      <c r="D20" s="9"/>
      <c r="E20" s="9"/>
      <c r="F20" s="9"/>
      <c r="G20" s="9"/>
      <c r="H20" s="9"/>
      <c r="I20" s="11">
        <v>19.399999999999999</v>
      </c>
      <c r="J20" s="11">
        <v>20.5</v>
      </c>
      <c r="K20" s="2">
        <v>19.8</v>
      </c>
      <c r="L20" t="s">
        <v>98</v>
      </c>
      <c r="M20" s="20">
        <v>46290</v>
      </c>
    </row>
    <row r="21" spans="1:13">
      <c r="A21" s="10"/>
      <c r="B21" s="10"/>
      <c r="C21" s="11"/>
      <c r="D21" s="11"/>
      <c r="E21" s="11"/>
      <c r="F21" s="11"/>
      <c r="G21" s="11"/>
      <c r="H21" s="11"/>
      <c r="I21" s="11">
        <v>13.8</v>
      </c>
      <c r="J21" s="11">
        <v>15.4</v>
      </c>
      <c r="K21" s="2">
        <v>13.2</v>
      </c>
      <c r="L21" t="s">
        <v>99</v>
      </c>
      <c r="M21" s="20">
        <v>46290</v>
      </c>
    </row>
    <row r="22" spans="1:13">
      <c r="A22" s="8"/>
      <c r="B22" s="8"/>
      <c r="C22" s="9"/>
      <c r="D22" s="9"/>
      <c r="E22" s="9"/>
      <c r="F22" s="9"/>
      <c r="G22" s="9"/>
      <c r="H22" s="9"/>
      <c r="I22" s="11">
        <v>15.5</v>
      </c>
      <c r="J22" s="11">
        <v>18.2</v>
      </c>
      <c r="K22" s="2">
        <v>14.6</v>
      </c>
      <c r="L22" t="s">
        <v>100</v>
      </c>
      <c r="M22" s="20">
        <v>46290</v>
      </c>
    </row>
    <row r="23" spans="1:13">
      <c r="A23" s="10"/>
      <c r="B23" s="10"/>
      <c r="C23" s="11"/>
      <c r="D23" s="11"/>
      <c r="E23" s="11"/>
      <c r="F23" s="11"/>
      <c r="G23" s="11"/>
      <c r="H23" s="11"/>
      <c r="I23" s="11">
        <v>14.7</v>
      </c>
      <c r="J23" s="11">
        <v>16.5</v>
      </c>
      <c r="K23" s="2">
        <v>16.899999999999999</v>
      </c>
      <c r="L23" t="s">
        <v>101</v>
      </c>
      <c r="M23" s="20">
        <v>46290</v>
      </c>
    </row>
    <row r="24" spans="1:13">
      <c r="A24" s="8"/>
      <c r="B24" s="8"/>
      <c r="C24" s="9"/>
      <c r="D24" s="9"/>
      <c r="E24" s="9"/>
      <c r="F24" s="9"/>
      <c r="G24" s="9"/>
      <c r="H24" s="9"/>
      <c r="I24" s="11">
        <v>16.2</v>
      </c>
      <c r="J24" s="11">
        <v>17</v>
      </c>
      <c r="K24" s="2">
        <v>15.9</v>
      </c>
      <c r="L24" t="s">
        <v>102</v>
      </c>
      <c r="M24" s="20">
        <v>46290</v>
      </c>
    </row>
    <row r="25" spans="1:13">
      <c r="A25" s="10"/>
      <c r="B25" s="10"/>
      <c r="C25" s="11"/>
      <c r="D25" s="11"/>
      <c r="E25" s="11"/>
      <c r="F25" s="11"/>
      <c r="G25" s="11"/>
      <c r="H25" s="11"/>
      <c r="I25" s="11">
        <v>14.2</v>
      </c>
      <c r="J25" s="11">
        <v>14.9</v>
      </c>
      <c r="K25" s="2">
        <v>13.8</v>
      </c>
      <c r="L25" t="s">
        <v>103</v>
      </c>
      <c r="M25" s="20">
        <v>46290</v>
      </c>
    </row>
    <row r="26" spans="1:13">
      <c r="A26" s="8"/>
      <c r="B26" s="8"/>
      <c r="C26" s="9"/>
      <c r="D26" s="9"/>
      <c r="E26" s="9"/>
      <c r="F26" s="9"/>
      <c r="G26" s="9"/>
      <c r="H26" s="9"/>
      <c r="I26" s="11">
        <v>16.600000000000001</v>
      </c>
      <c r="J26" s="11">
        <v>17.3</v>
      </c>
      <c r="K26" s="2">
        <v>16.8</v>
      </c>
      <c r="L26" t="s">
        <v>104</v>
      </c>
      <c r="M26" s="20">
        <v>46290</v>
      </c>
    </row>
    <row r="27" spans="1:13">
      <c r="A27" s="12"/>
      <c r="B27" s="10"/>
      <c r="C27" s="11"/>
      <c r="D27" s="11"/>
      <c r="E27" s="11"/>
      <c r="F27" s="11"/>
      <c r="G27" s="11"/>
      <c r="H27" s="11"/>
      <c r="I27" s="11">
        <v>15.7</v>
      </c>
      <c r="J27" s="11">
        <v>17.5</v>
      </c>
      <c r="K27" s="2">
        <v>17.2</v>
      </c>
      <c r="L27" t="s">
        <v>105</v>
      </c>
      <c r="M27" s="20">
        <v>46290</v>
      </c>
    </row>
    <row r="28" spans="1:13">
      <c r="A28" s="13"/>
      <c r="B28" s="13"/>
      <c r="C28" s="14"/>
      <c r="D28" s="14"/>
      <c r="E28" s="14"/>
      <c r="F28" s="14"/>
      <c r="G28" s="14"/>
      <c r="H28" s="14"/>
      <c r="I28">
        <v>14.4</v>
      </c>
      <c r="J28">
        <v>15.6</v>
      </c>
      <c r="K28">
        <v>14.1</v>
      </c>
      <c r="L28" t="s">
        <v>106</v>
      </c>
      <c r="M28" s="20">
        <v>46290</v>
      </c>
    </row>
  </sheetData>
  <mergeCells count="1">
    <mergeCell ref="A1:H1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75FA7-C42A-FE49-98EC-F3F65DA03011}">
  <dimension ref="A1:G29"/>
  <sheetViews>
    <sheetView zoomScale="112" workbookViewId="0">
      <selection activeCell="B24" sqref="B24"/>
    </sheetView>
  </sheetViews>
  <sheetFormatPr defaultColWidth="11" defaultRowHeight="15.75"/>
  <cols>
    <col min="1" max="2" width="15" customWidth="1"/>
    <col min="3" max="3" width="15" style="1" customWidth="1"/>
    <col min="4" max="4" width="15" style="2" customWidth="1"/>
    <col min="5" max="7" width="14.125" style="2" customWidth="1"/>
  </cols>
  <sheetData>
    <row r="1" spans="1:7">
      <c r="A1" s="37" t="s">
        <v>60</v>
      </c>
      <c r="B1" s="38"/>
      <c r="C1" s="38"/>
      <c r="D1" s="38"/>
      <c r="E1" s="38"/>
      <c r="F1" s="38"/>
      <c r="G1" s="39"/>
    </row>
    <row r="2" spans="1:7" ht="24" customHeight="1">
      <c r="A2" s="3" t="s">
        <v>5</v>
      </c>
      <c r="B2" s="3" t="s">
        <v>6</v>
      </c>
      <c r="C2" s="4" t="s">
        <v>0</v>
      </c>
      <c r="D2" s="5" t="s">
        <v>61</v>
      </c>
      <c r="E2" s="5" t="s">
        <v>62</v>
      </c>
      <c r="F2" s="5" t="s">
        <v>63</v>
      </c>
      <c r="G2" s="5" t="s">
        <v>64</v>
      </c>
    </row>
    <row r="3" spans="1:7">
      <c r="A3" s="6" t="s">
        <v>65</v>
      </c>
      <c r="B3" s="6" t="s">
        <v>40</v>
      </c>
      <c r="C3" s="1">
        <v>46227</v>
      </c>
      <c r="D3" s="2">
        <v>14.8</v>
      </c>
      <c r="E3" s="2">
        <v>14.6</v>
      </c>
      <c r="F3" s="2">
        <v>14.3</v>
      </c>
      <c r="G3" s="2">
        <f>IFERROR(AVERAGE(JumpData[[#This Row],[Jump 1 (in)]:[Jump 3 (in)]]),"")</f>
        <v>14.566666666666668</v>
      </c>
    </row>
    <row r="4" spans="1:7">
      <c r="A4" s="6" t="s">
        <v>48</v>
      </c>
      <c r="B4" s="6" t="s">
        <v>49</v>
      </c>
      <c r="C4" s="1">
        <v>46227</v>
      </c>
      <c r="D4" s="2">
        <v>13.6</v>
      </c>
      <c r="E4" s="2">
        <v>13</v>
      </c>
      <c r="F4" s="2">
        <v>13.1</v>
      </c>
      <c r="G4" s="2">
        <f>IFERROR(AVERAGE(JumpData[[#This Row],[Jump 1 (in)]:[Jump 3 (in)]]),"")</f>
        <v>13.233333333333334</v>
      </c>
    </row>
    <row r="5" spans="1:7">
      <c r="A5" s="6" t="s">
        <v>46</v>
      </c>
      <c r="B5" s="6" t="s">
        <v>47</v>
      </c>
      <c r="C5" s="1">
        <v>46227</v>
      </c>
      <c r="D5" s="2">
        <v>13.6</v>
      </c>
      <c r="E5" s="2">
        <v>14.2</v>
      </c>
      <c r="F5" s="2">
        <v>14.6</v>
      </c>
      <c r="G5" s="2">
        <f>IFERROR(AVERAGE(JumpData[[#This Row],[Jump 1 (in)]:[Jump 3 (in)]]),"")</f>
        <v>14.133333333333333</v>
      </c>
    </row>
    <row r="6" spans="1:7">
      <c r="A6" s="6" t="s">
        <v>36</v>
      </c>
      <c r="B6" s="6" t="s">
        <v>37</v>
      </c>
      <c r="C6" s="1">
        <v>46227</v>
      </c>
      <c r="D6" s="2">
        <v>16.5</v>
      </c>
      <c r="E6" s="2">
        <v>16.8</v>
      </c>
      <c r="F6" s="2">
        <v>16.399999999999999</v>
      </c>
      <c r="G6" s="2">
        <f>IFERROR(AVERAGE(JumpData[[#This Row],[Jump 1 (in)]:[Jump 3 (in)]]),"")</f>
        <v>16.566666666666666</v>
      </c>
    </row>
    <row r="7" spans="1:7">
      <c r="A7" s="6" t="s">
        <v>23</v>
      </c>
      <c r="B7" s="6" t="s">
        <v>24</v>
      </c>
      <c r="C7" s="1">
        <v>46227</v>
      </c>
      <c r="D7" s="2">
        <v>17.399999999999999</v>
      </c>
      <c r="E7" s="2">
        <v>16.899999999999999</v>
      </c>
      <c r="F7" s="2">
        <v>17.7</v>
      </c>
      <c r="G7" s="2">
        <f>IFERROR(AVERAGE(JumpData[[#This Row],[Jump 1 (in)]:[Jump 3 (in)]]),"")</f>
        <v>17.333333333333332</v>
      </c>
    </row>
    <row r="8" spans="1:7">
      <c r="A8" s="6" t="s">
        <v>10</v>
      </c>
      <c r="B8" s="6" t="s">
        <v>66</v>
      </c>
      <c r="C8" s="1">
        <v>46227</v>
      </c>
      <c r="G8" s="2" t="str">
        <f>IFERROR(AVERAGE(JumpData[[#This Row],[Jump 1 (in)]:[Jump 3 (in)]]),"")</f>
        <v/>
      </c>
    </row>
    <row r="9" spans="1:7">
      <c r="A9" s="6" t="s">
        <v>11</v>
      </c>
      <c r="B9" s="6" t="s">
        <v>12</v>
      </c>
      <c r="C9" s="1">
        <v>46227</v>
      </c>
      <c r="G9" s="2" t="str">
        <f>IFERROR(AVERAGE(JumpData[[#This Row],[Jump 1 (in)]:[Jump 3 (in)]]),"")</f>
        <v/>
      </c>
    </row>
    <row r="10" spans="1:7">
      <c r="A10" s="6" t="s">
        <v>25</v>
      </c>
      <c r="B10" s="6" t="s">
        <v>26</v>
      </c>
      <c r="C10" s="1">
        <v>46227</v>
      </c>
      <c r="D10" s="2">
        <v>15.4</v>
      </c>
      <c r="E10" s="2">
        <v>15.2</v>
      </c>
      <c r="F10" s="2">
        <v>16.2</v>
      </c>
      <c r="G10" s="2">
        <f>IFERROR(AVERAGE(JumpData[[#This Row],[Jump 1 (in)]:[Jump 3 (in)]]),"")</f>
        <v>15.6</v>
      </c>
    </row>
    <row r="11" spans="1:7">
      <c r="A11" s="6" t="s">
        <v>67</v>
      </c>
      <c r="B11" s="6" t="s">
        <v>17</v>
      </c>
      <c r="C11" s="1">
        <v>46227</v>
      </c>
      <c r="D11" s="2">
        <v>17</v>
      </c>
      <c r="E11" s="2">
        <v>17.7</v>
      </c>
      <c r="F11" s="2">
        <v>18.600000000000001</v>
      </c>
      <c r="G11" s="2">
        <f>IFERROR(AVERAGE(JumpData[[#This Row],[Jump 1 (in)]:[Jump 3 (in)]]),"")</f>
        <v>17.766666666666669</v>
      </c>
    </row>
    <row r="12" spans="1:7">
      <c r="A12" s="6" t="s">
        <v>68</v>
      </c>
      <c r="B12" s="6" t="s">
        <v>35</v>
      </c>
      <c r="C12" s="1">
        <v>46227</v>
      </c>
      <c r="D12" s="2">
        <v>8.3000000000000007</v>
      </c>
      <c r="E12" s="2">
        <v>14.9</v>
      </c>
      <c r="F12" s="2">
        <v>15.8</v>
      </c>
      <c r="G12" s="2">
        <f>IFERROR(AVERAGE(JumpData[[#This Row],[Jump 1 (in)]:[Jump 3 (in)]]),"")</f>
        <v>13</v>
      </c>
    </row>
    <row r="13" spans="1:7">
      <c r="A13" s="6" t="s">
        <v>21</v>
      </c>
      <c r="B13" s="6" t="s">
        <v>22</v>
      </c>
      <c r="C13" s="1">
        <v>46227</v>
      </c>
      <c r="D13" s="2">
        <v>16.100000000000001</v>
      </c>
      <c r="E13" s="2">
        <v>15.9</v>
      </c>
      <c r="F13" s="2">
        <v>16.399999999999999</v>
      </c>
      <c r="G13" s="2">
        <f>IFERROR(AVERAGE(JumpData[[#This Row],[Jump 1 (in)]:[Jump 3 (in)]]),"")</f>
        <v>16.133333333333333</v>
      </c>
    </row>
    <row r="14" spans="1:7">
      <c r="A14" s="6" t="s">
        <v>69</v>
      </c>
      <c r="B14" s="6" t="s">
        <v>14</v>
      </c>
      <c r="C14" s="1">
        <v>46227</v>
      </c>
      <c r="G14" s="2" t="str">
        <f>IFERROR(AVERAGE(JumpData[[#This Row],[Jump 1 (in)]:[Jump 3 (in)]]),"")</f>
        <v/>
      </c>
    </row>
    <row r="15" spans="1:7">
      <c r="A15" s="6" t="s">
        <v>44</v>
      </c>
      <c r="B15" s="6" t="s">
        <v>45</v>
      </c>
      <c r="C15" s="1">
        <v>46227</v>
      </c>
      <c r="G15" s="2" t="str">
        <f>IFERROR(AVERAGE(JumpData[[#This Row],[Jump 1 (in)]:[Jump 3 (in)]]),"")</f>
        <v/>
      </c>
    </row>
    <row r="16" spans="1:7">
      <c r="A16" s="6" t="s">
        <v>70</v>
      </c>
      <c r="B16" s="6" t="s">
        <v>28</v>
      </c>
      <c r="C16" s="1">
        <v>46227</v>
      </c>
      <c r="D16" s="2">
        <v>16.5</v>
      </c>
      <c r="E16" s="2">
        <v>17.600000000000001</v>
      </c>
      <c r="F16" s="2">
        <v>14.5</v>
      </c>
      <c r="G16" s="2">
        <f>IFERROR(AVERAGE(JumpData[[#This Row],[Jump 1 (in)]:[Jump 3 (in)]]),"")</f>
        <v>16.2</v>
      </c>
    </row>
    <row r="17" spans="1:7">
      <c r="A17" s="6" t="s">
        <v>71</v>
      </c>
      <c r="B17" s="6" t="s">
        <v>17</v>
      </c>
      <c r="C17" s="1">
        <v>46227</v>
      </c>
      <c r="D17" s="2">
        <v>14.1</v>
      </c>
      <c r="E17" s="2">
        <v>13.5</v>
      </c>
      <c r="F17" s="2">
        <v>13.3</v>
      </c>
      <c r="G17" s="2">
        <f>IFERROR(AVERAGE(JumpData[[#This Row],[Jump 1 (in)]:[Jump 3 (in)]]),"")</f>
        <v>13.633333333333335</v>
      </c>
    </row>
    <row r="18" spans="1:7">
      <c r="A18" s="6" t="s">
        <v>31</v>
      </c>
      <c r="B18" s="6" t="s">
        <v>32</v>
      </c>
      <c r="C18" s="1">
        <v>46227</v>
      </c>
      <c r="D18" s="2">
        <v>15.6</v>
      </c>
      <c r="E18" s="2">
        <v>15.3</v>
      </c>
      <c r="F18" s="2">
        <v>15.1</v>
      </c>
      <c r="G18" s="2">
        <f>IFERROR(AVERAGE(JumpData[[#This Row],[Jump 1 (in)]:[Jump 3 (in)]]),"")</f>
        <v>15.333333333333334</v>
      </c>
    </row>
    <row r="19" spans="1:7">
      <c r="A19" s="6" t="s">
        <v>72</v>
      </c>
      <c r="B19" s="6" t="s">
        <v>50</v>
      </c>
      <c r="C19" s="1">
        <v>46227</v>
      </c>
      <c r="D19" s="2">
        <v>13.5</v>
      </c>
      <c r="E19" s="2">
        <v>13.1</v>
      </c>
      <c r="F19" s="2">
        <v>14.2</v>
      </c>
      <c r="G19" s="2">
        <f>IFERROR(AVERAGE(JumpData[[#This Row],[Jump 1 (in)]:[Jump 3 (in)]]),"")</f>
        <v>13.6</v>
      </c>
    </row>
    <row r="20" spans="1:7">
      <c r="A20" s="6" t="s">
        <v>15</v>
      </c>
      <c r="B20" s="6" t="s">
        <v>16</v>
      </c>
      <c r="C20" s="1">
        <v>46227</v>
      </c>
      <c r="D20" s="2">
        <v>19.8</v>
      </c>
      <c r="E20" s="2">
        <v>19.8</v>
      </c>
      <c r="F20" s="2">
        <v>20.5</v>
      </c>
      <c r="G20" s="2">
        <f>IFERROR(AVERAGE(JumpData[[#This Row],[Jump 1 (in)]:[Jump 3 (in)]]),"")</f>
        <v>20.033333333333335</v>
      </c>
    </row>
    <row r="21" spans="1:7">
      <c r="A21" s="6" t="s">
        <v>38</v>
      </c>
      <c r="B21" s="6" t="s">
        <v>39</v>
      </c>
      <c r="C21" s="1">
        <v>46227</v>
      </c>
      <c r="D21" s="2">
        <v>13.7</v>
      </c>
      <c r="E21" s="2">
        <v>13.5</v>
      </c>
      <c r="F21" s="2">
        <v>13.2</v>
      </c>
      <c r="G21" s="2">
        <f>IFERROR(AVERAGE(JumpData[[#This Row],[Jump 1 (in)]:[Jump 3 (in)]]),"")</f>
        <v>13.466666666666667</v>
      </c>
    </row>
    <row r="22" spans="1:7">
      <c r="A22" s="6" t="s">
        <v>19</v>
      </c>
      <c r="B22" s="6" t="s">
        <v>20</v>
      </c>
      <c r="C22" s="1">
        <v>46227</v>
      </c>
      <c r="D22" s="2">
        <v>16.100000000000001</v>
      </c>
      <c r="E22" s="2">
        <v>16.7</v>
      </c>
      <c r="F22" s="2">
        <v>16.8</v>
      </c>
      <c r="G22" s="2">
        <f>IFERROR(AVERAGE(JumpData[[#This Row],[Jump 1 (in)]:[Jump 3 (in)]]),"")</f>
        <v>16.533333333333331</v>
      </c>
    </row>
    <row r="23" spans="1:7">
      <c r="A23" s="6" t="s">
        <v>27</v>
      </c>
      <c r="B23" s="6" t="s">
        <v>73</v>
      </c>
      <c r="C23" s="1">
        <v>46227</v>
      </c>
      <c r="D23" s="2">
        <v>17.100000000000001</v>
      </c>
      <c r="E23" s="2">
        <v>11.5</v>
      </c>
      <c r="F23" s="2">
        <v>15.3</v>
      </c>
      <c r="G23" s="2">
        <f>IFERROR(AVERAGE(JumpData[[#This Row],[Jump 1 (in)]:[Jump 3 (in)]]),"")</f>
        <v>14.633333333333335</v>
      </c>
    </row>
    <row r="24" spans="1:7">
      <c r="A24" s="6" t="s">
        <v>33</v>
      </c>
      <c r="B24" s="6" t="s">
        <v>34</v>
      </c>
      <c r="C24" s="1">
        <v>46227</v>
      </c>
      <c r="D24" s="2">
        <v>17.3</v>
      </c>
      <c r="E24" s="2">
        <v>16.7</v>
      </c>
      <c r="F24" s="2">
        <v>17.100000000000001</v>
      </c>
      <c r="G24" s="2">
        <f>IFERROR(AVERAGE(JumpData[[#This Row],[Jump 1 (in)]:[Jump 3 (in)]]),"")</f>
        <v>17.033333333333335</v>
      </c>
    </row>
    <row r="25" spans="1:7">
      <c r="A25" s="6" t="s">
        <v>74</v>
      </c>
      <c r="B25" s="6" t="s">
        <v>43</v>
      </c>
      <c r="C25" s="1">
        <v>46227</v>
      </c>
      <c r="D25" s="2">
        <v>15.3</v>
      </c>
      <c r="E25" s="2">
        <v>15.1</v>
      </c>
      <c r="F25" s="2">
        <v>13.7</v>
      </c>
      <c r="G25" s="2">
        <f>IFERROR(AVERAGE(JumpData[[#This Row],[Jump 1 (in)]:[Jump 3 (in)]]),"")</f>
        <v>14.699999999999998</v>
      </c>
    </row>
    <row r="26" spans="1:7">
      <c r="A26" s="6" t="s">
        <v>29</v>
      </c>
      <c r="B26" s="6" t="s">
        <v>30</v>
      </c>
      <c r="C26" s="1">
        <v>46227</v>
      </c>
      <c r="D26" s="2">
        <v>18.2</v>
      </c>
      <c r="E26" s="2">
        <v>15.2</v>
      </c>
      <c r="F26" s="2">
        <v>16.3</v>
      </c>
      <c r="G26" s="2">
        <f>IFERROR(AVERAGE(JumpData[[#This Row],[Jump 1 (in)]:[Jump 3 (in)]]),"")</f>
        <v>16.566666666666666</v>
      </c>
    </row>
    <row r="27" spans="1:7">
      <c r="A27" s="7" t="s">
        <v>75</v>
      </c>
      <c r="B27" s="6" t="s">
        <v>18</v>
      </c>
      <c r="C27" s="1">
        <v>46227</v>
      </c>
      <c r="D27" s="2">
        <v>15.3</v>
      </c>
      <c r="E27" s="2">
        <v>14.7</v>
      </c>
      <c r="F27" s="2">
        <v>16.100000000000001</v>
      </c>
      <c r="G27" s="2">
        <f>IFERROR(AVERAGE(JumpData[[#This Row],[Jump 1 (in)]:[Jump 3 (in)]]),"")</f>
        <v>15.366666666666667</v>
      </c>
    </row>
    <row r="28" spans="1:7">
      <c r="A28" s="6" t="s">
        <v>41</v>
      </c>
      <c r="B28" s="6" t="s">
        <v>42</v>
      </c>
      <c r="C28" s="1">
        <v>46227</v>
      </c>
      <c r="D28" s="2">
        <v>14.7</v>
      </c>
      <c r="E28" s="2">
        <v>16.399999999999999</v>
      </c>
      <c r="F28" s="2">
        <v>16.2</v>
      </c>
      <c r="G28" s="2">
        <f>IFERROR(AVERAGE(JumpData[[#This Row],[Jump 1 (in)]:[Jump 3 (in)]]),"")</f>
        <v>15.766666666666666</v>
      </c>
    </row>
    <row r="29" spans="1:7">
      <c r="G29" s="2" t="str">
        <f>IFERROR(MAX(JumpData[[#This Row],[Jump 1 (in)]:[Jump 3 (in)]]),"")</f>
        <v/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B31AF-6DEA-2844-A94E-142B4CDFA57C}">
  <dimension ref="A1:G29"/>
  <sheetViews>
    <sheetView zoomScale="112" workbookViewId="0">
      <selection activeCell="I17" sqref="I17"/>
    </sheetView>
  </sheetViews>
  <sheetFormatPr defaultColWidth="11" defaultRowHeight="15.75"/>
  <cols>
    <col min="1" max="2" width="15" customWidth="1"/>
    <col min="3" max="3" width="15" style="1" customWidth="1"/>
    <col min="4" max="4" width="15" style="2" customWidth="1"/>
    <col min="5" max="7" width="14.125" style="2" customWidth="1"/>
  </cols>
  <sheetData>
    <row r="1" spans="1:7">
      <c r="A1" s="37" t="s">
        <v>76</v>
      </c>
      <c r="B1" s="38"/>
      <c r="C1" s="38"/>
      <c r="D1" s="38"/>
      <c r="E1" s="38"/>
      <c r="F1" s="38"/>
      <c r="G1" s="39"/>
    </row>
    <row r="2" spans="1:7" ht="24" customHeight="1">
      <c r="A2" s="3" t="s">
        <v>5</v>
      </c>
      <c r="B2" s="3" t="s">
        <v>6</v>
      </c>
      <c r="C2" s="4" t="s">
        <v>0</v>
      </c>
      <c r="D2" s="5" t="s">
        <v>61</v>
      </c>
      <c r="E2" s="5" t="s">
        <v>62</v>
      </c>
      <c r="F2" s="5" t="s">
        <v>63</v>
      </c>
      <c r="G2" s="5" t="s">
        <v>64</v>
      </c>
    </row>
    <row r="3" spans="1:7">
      <c r="A3" s="6" t="s">
        <v>65</v>
      </c>
      <c r="B3" s="6" t="s">
        <v>40</v>
      </c>
      <c r="C3" s="1">
        <v>46230</v>
      </c>
      <c r="D3" s="2">
        <v>14.8</v>
      </c>
      <c r="E3" s="2">
        <v>13.7</v>
      </c>
      <c r="F3" s="2">
        <v>15.4</v>
      </c>
      <c r="G3" s="2">
        <f>IF(COUNT(JumpData3[[#This Row],[Jump 1 (in)]:[Jump 3 (in)]])=0,"",AVERAGE(JumpData3[[#This Row],[Jump 1 (in)]:[Jump 3 (in)]]))</f>
        <v>14.633333333333333</v>
      </c>
    </row>
    <row r="4" spans="1:7">
      <c r="A4" s="6" t="s">
        <v>48</v>
      </c>
      <c r="B4" s="6" t="s">
        <v>49</v>
      </c>
      <c r="C4" s="1">
        <v>46230</v>
      </c>
      <c r="D4" s="2">
        <v>12</v>
      </c>
      <c r="E4" s="2">
        <v>13.2</v>
      </c>
      <c r="F4" s="2">
        <v>12.9</v>
      </c>
      <c r="G4" s="2">
        <f>IF(COUNT(JumpData3[[#This Row],[Jump 1 (in)]:[Jump 3 (in)]])=0,"",AVERAGE(JumpData3[[#This Row],[Jump 1 (in)]:[Jump 3 (in)]]))</f>
        <v>12.700000000000001</v>
      </c>
    </row>
    <row r="5" spans="1:7">
      <c r="A5" s="6" t="s">
        <v>46</v>
      </c>
      <c r="B5" s="6" t="s">
        <v>47</v>
      </c>
      <c r="C5" s="1">
        <v>46230</v>
      </c>
      <c r="D5" s="2">
        <v>15.1</v>
      </c>
      <c r="E5" s="2">
        <v>14.3</v>
      </c>
      <c r="F5" s="2">
        <v>13.3</v>
      </c>
      <c r="G5" s="2">
        <f>IF(COUNT(JumpData3[[#This Row],[Jump 1 (in)]:[Jump 3 (in)]])=0,"",AVERAGE(JumpData3[[#This Row],[Jump 1 (in)]:[Jump 3 (in)]]))</f>
        <v>14.233333333333334</v>
      </c>
    </row>
    <row r="6" spans="1:7">
      <c r="A6" s="6" t="s">
        <v>36</v>
      </c>
      <c r="B6" s="6" t="s">
        <v>37</v>
      </c>
      <c r="C6" s="1">
        <v>46230</v>
      </c>
      <c r="D6" s="2">
        <v>17.7</v>
      </c>
      <c r="E6" s="2">
        <v>17.399999999999999</v>
      </c>
      <c r="F6" s="2">
        <v>16.2</v>
      </c>
      <c r="G6" s="2">
        <f>IF(COUNT(JumpData3[[#This Row],[Jump 1 (in)]:[Jump 3 (in)]])=0,"",AVERAGE(JumpData3[[#This Row],[Jump 1 (in)]:[Jump 3 (in)]]))</f>
        <v>17.099999999999998</v>
      </c>
    </row>
    <row r="7" spans="1:7">
      <c r="A7" s="6" t="s">
        <v>23</v>
      </c>
      <c r="B7" s="6" t="s">
        <v>24</v>
      </c>
      <c r="C7" s="1">
        <v>46230</v>
      </c>
      <c r="D7" s="2">
        <v>18.600000000000001</v>
      </c>
      <c r="E7" s="2">
        <v>18.2</v>
      </c>
      <c r="F7" s="2">
        <v>19.2</v>
      </c>
      <c r="G7" s="2">
        <f>IF(COUNT(JumpData3[[#This Row],[Jump 1 (in)]:[Jump 3 (in)]])=0,"",AVERAGE(JumpData3[[#This Row],[Jump 1 (in)]:[Jump 3 (in)]]))</f>
        <v>18.666666666666668</v>
      </c>
    </row>
    <row r="8" spans="1:7">
      <c r="A8" s="6" t="s">
        <v>10</v>
      </c>
      <c r="B8" s="6" t="s">
        <v>66</v>
      </c>
      <c r="C8" s="1">
        <v>46230</v>
      </c>
      <c r="G8" s="2" t="str">
        <f>IF(COUNT(JumpData3[[#This Row],[Jump 1 (in)]:[Jump 3 (in)]])=0,"",AVERAGE(JumpData3[[#This Row],[Jump 1 (in)]:[Jump 3 (in)]]))</f>
        <v/>
      </c>
    </row>
    <row r="9" spans="1:7">
      <c r="A9" s="6" t="s">
        <v>11</v>
      </c>
      <c r="B9" s="6" t="s">
        <v>12</v>
      </c>
      <c r="C9" s="1">
        <v>46230</v>
      </c>
      <c r="G9" s="2" t="str">
        <f>IF(COUNT(JumpData3[[#This Row],[Jump 1 (in)]:[Jump 3 (in)]])=0,"",AVERAGE(JumpData3[[#This Row],[Jump 1 (in)]:[Jump 3 (in)]]))</f>
        <v/>
      </c>
    </row>
    <row r="10" spans="1:7">
      <c r="A10" s="6" t="s">
        <v>25</v>
      </c>
      <c r="B10" s="6" t="s">
        <v>26</v>
      </c>
      <c r="C10" s="1">
        <v>46230</v>
      </c>
      <c r="D10" s="2">
        <v>15.9</v>
      </c>
      <c r="E10" s="2">
        <v>16.899999999999999</v>
      </c>
      <c r="F10" s="2">
        <v>16.600000000000001</v>
      </c>
      <c r="G10" s="2">
        <f>IF(COUNT(JumpData3[[#This Row],[Jump 1 (in)]:[Jump 3 (in)]])=0,"",AVERAGE(JumpData3[[#This Row],[Jump 1 (in)]:[Jump 3 (in)]]))</f>
        <v>16.466666666666665</v>
      </c>
    </row>
    <row r="11" spans="1:7">
      <c r="A11" s="6" t="s">
        <v>67</v>
      </c>
      <c r="B11" s="6" t="s">
        <v>17</v>
      </c>
      <c r="C11" s="1">
        <v>46230</v>
      </c>
      <c r="D11" s="2">
        <v>17.7</v>
      </c>
      <c r="E11" s="2">
        <v>17.600000000000001</v>
      </c>
      <c r="F11" s="2">
        <v>17.3</v>
      </c>
      <c r="G11" s="2">
        <f>IF(COUNT(JumpData3[[#This Row],[Jump 1 (in)]:[Jump 3 (in)]])=0,"",AVERAGE(JumpData3[[#This Row],[Jump 1 (in)]:[Jump 3 (in)]]))</f>
        <v>17.533333333333331</v>
      </c>
    </row>
    <row r="12" spans="1:7">
      <c r="A12" s="6" t="s">
        <v>68</v>
      </c>
      <c r="B12" s="6" t="s">
        <v>35</v>
      </c>
      <c r="C12" s="1">
        <v>46230</v>
      </c>
      <c r="D12" s="2">
        <v>15.7</v>
      </c>
      <c r="E12" s="2">
        <v>14.9</v>
      </c>
      <c r="F12" s="2">
        <v>15.6</v>
      </c>
      <c r="G12" s="2">
        <f>IF(COUNT(JumpData3[[#This Row],[Jump 1 (in)]:[Jump 3 (in)]])=0,"",AVERAGE(JumpData3[[#This Row],[Jump 1 (in)]:[Jump 3 (in)]]))</f>
        <v>15.4</v>
      </c>
    </row>
    <row r="13" spans="1:7">
      <c r="A13" s="6" t="s">
        <v>21</v>
      </c>
      <c r="B13" s="6" t="s">
        <v>22</v>
      </c>
      <c r="C13" s="1">
        <v>46230</v>
      </c>
      <c r="D13" s="2">
        <v>15.3</v>
      </c>
      <c r="E13" s="2">
        <v>16.899999999999999</v>
      </c>
      <c r="F13" s="2">
        <v>15.7</v>
      </c>
      <c r="G13" s="2">
        <f>IF(COUNT(JumpData3[[#This Row],[Jump 1 (in)]:[Jump 3 (in)]])=0,"",AVERAGE(JumpData3[[#This Row],[Jump 1 (in)]:[Jump 3 (in)]]))</f>
        <v>15.966666666666669</v>
      </c>
    </row>
    <row r="14" spans="1:7">
      <c r="A14" s="6" t="s">
        <v>13</v>
      </c>
      <c r="B14" s="6" t="s">
        <v>14</v>
      </c>
      <c r="C14" s="1">
        <v>46230</v>
      </c>
      <c r="G14" s="2" t="str">
        <f>IF(COUNT(JumpData3[[#This Row],[Jump 1 (in)]:[Jump 3 (in)]])=0,"",AVERAGE(JumpData3[[#This Row],[Jump 1 (in)]:[Jump 3 (in)]]))</f>
        <v/>
      </c>
    </row>
    <row r="15" spans="1:7">
      <c r="A15" s="6" t="s">
        <v>44</v>
      </c>
      <c r="B15" s="6" t="s">
        <v>45</v>
      </c>
      <c r="C15" s="1">
        <v>46230</v>
      </c>
      <c r="D15" s="2">
        <v>15.6</v>
      </c>
      <c r="E15" s="2">
        <v>17.2</v>
      </c>
      <c r="F15" s="2">
        <v>18.5</v>
      </c>
      <c r="G15" s="2">
        <f>IF(COUNT(JumpData3[[#This Row],[Jump 1 (in)]:[Jump 3 (in)]])=0,"",AVERAGE(JumpData3[[#This Row],[Jump 1 (in)]:[Jump 3 (in)]]))</f>
        <v>17.099999999999998</v>
      </c>
    </row>
    <row r="16" spans="1:7">
      <c r="A16" s="6" t="s">
        <v>70</v>
      </c>
      <c r="B16" s="6" t="s">
        <v>28</v>
      </c>
      <c r="C16" s="1">
        <v>46230</v>
      </c>
      <c r="D16" s="2">
        <v>12.5</v>
      </c>
      <c r="E16" s="2">
        <v>14.6</v>
      </c>
      <c r="F16" s="2">
        <v>16</v>
      </c>
      <c r="G16" s="2">
        <f>IF(COUNT(JumpData3[[#This Row],[Jump 1 (in)]:[Jump 3 (in)]])=0,"",AVERAGE(JumpData3[[#This Row],[Jump 1 (in)]:[Jump 3 (in)]]))</f>
        <v>14.366666666666667</v>
      </c>
    </row>
    <row r="17" spans="1:7">
      <c r="A17" s="6" t="s">
        <v>71</v>
      </c>
      <c r="B17" s="6" t="s">
        <v>17</v>
      </c>
      <c r="C17" s="1">
        <v>46230</v>
      </c>
      <c r="D17" s="2">
        <v>12.8</v>
      </c>
      <c r="E17" s="2">
        <v>12.8</v>
      </c>
      <c r="F17" s="2">
        <v>12.5</v>
      </c>
      <c r="G17" s="2">
        <f>IF(COUNT(JumpData3[[#This Row],[Jump 1 (in)]:[Jump 3 (in)]])=0,"",AVERAGE(JumpData3[[#This Row],[Jump 1 (in)]:[Jump 3 (in)]]))</f>
        <v>12.700000000000001</v>
      </c>
    </row>
    <row r="18" spans="1:7">
      <c r="A18" s="6" t="s">
        <v>31</v>
      </c>
      <c r="B18" s="6" t="s">
        <v>32</v>
      </c>
      <c r="C18" s="1">
        <v>46230</v>
      </c>
      <c r="D18" s="2">
        <v>15</v>
      </c>
      <c r="E18" s="2">
        <v>14.8</v>
      </c>
      <c r="F18" s="2">
        <v>15.1</v>
      </c>
      <c r="G18" s="2">
        <f>IF(COUNT(JumpData3[[#This Row],[Jump 1 (in)]:[Jump 3 (in)]])=0,"",AVERAGE(JumpData3[[#This Row],[Jump 1 (in)]:[Jump 3 (in)]]))</f>
        <v>14.966666666666667</v>
      </c>
    </row>
    <row r="19" spans="1:7">
      <c r="A19" s="6" t="s">
        <v>72</v>
      </c>
      <c r="B19" s="6" t="s">
        <v>50</v>
      </c>
      <c r="C19" s="1">
        <v>46230</v>
      </c>
      <c r="D19" s="2">
        <v>13.1</v>
      </c>
      <c r="E19" s="2">
        <v>13.4</v>
      </c>
      <c r="F19" s="2">
        <v>12.7</v>
      </c>
      <c r="G19" s="2">
        <f>IF(COUNT(JumpData3[[#This Row],[Jump 1 (in)]:[Jump 3 (in)]])=0,"",AVERAGE(JumpData3[[#This Row],[Jump 1 (in)]:[Jump 3 (in)]]))</f>
        <v>13.066666666666668</v>
      </c>
    </row>
    <row r="20" spans="1:7">
      <c r="A20" s="6" t="s">
        <v>15</v>
      </c>
      <c r="B20" s="6" t="s">
        <v>16</v>
      </c>
      <c r="C20" s="1">
        <v>46230</v>
      </c>
      <c r="D20" s="2">
        <v>20.399999999999999</v>
      </c>
      <c r="E20" s="2">
        <v>20.5</v>
      </c>
      <c r="F20" s="2">
        <v>20.6</v>
      </c>
      <c r="G20" s="2">
        <f>IF(COUNT(JumpData3[[#This Row],[Jump 1 (in)]:[Jump 3 (in)]])=0,"",AVERAGE(JumpData3[[#This Row],[Jump 1 (in)]:[Jump 3 (in)]]))</f>
        <v>20.5</v>
      </c>
    </row>
    <row r="21" spans="1:7">
      <c r="A21" s="6" t="s">
        <v>38</v>
      </c>
      <c r="B21" s="6" t="s">
        <v>39</v>
      </c>
      <c r="C21" s="1">
        <v>46230</v>
      </c>
      <c r="D21" s="2">
        <v>14.8</v>
      </c>
      <c r="E21" s="2">
        <v>16.5</v>
      </c>
      <c r="F21" s="2">
        <v>16.100000000000001</v>
      </c>
      <c r="G21" s="2">
        <f>IF(COUNT(JumpData3[[#This Row],[Jump 1 (in)]:[Jump 3 (in)]])=0,"",AVERAGE(JumpData3[[#This Row],[Jump 1 (in)]:[Jump 3 (in)]]))</f>
        <v>15.800000000000002</v>
      </c>
    </row>
    <row r="22" spans="1:7">
      <c r="A22" s="6" t="s">
        <v>19</v>
      </c>
      <c r="B22" s="6" t="s">
        <v>20</v>
      </c>
      <c r="C22" s="1">
        <v>46230</v>
      </c>
      <c r="D22" s="2">
        <v>17</v>
      </c>
      <c r="E22" s="2">
        <v>17.3</v>
      </c>
      <c r="F22" s="2">
        <v>17.3</v>
      </c>
      <c r="G22" s="2">
        <f>IF(COUNT(JumpData3[[#This Row],[Jump 1 (in)]:[Jump 3 (in)]])=0,"",AVERAGE(JumpData3[[#This Row],[Jump 1 (in)]:[Jump 3 (in)]]))</f>
        <v>17.2</v>
      </c>
    </row>
    <row r="23" spans="1:7">
      <c r="A23" s="6" t="s">
        <v>27</v>
      </c>
      <c r="B23" s="6" t="s">
        <v>73</v>
      </c>
      <c r="C23" s="1">
        <v>46230</v>
      </c>
      <c r="G23" s="2" t="str">
        <f>IF(COUNT(JumpData3[[#This Row],[Jump 1 (in)]:[Jump 3 (in)]])=0,"",AVERAGE(JumpData3[[#This Row],[Jump 1 (in)]:[Jump 3 (in)]]))</f>
        <v/>
      </c>
    </row>
    <row r="24" spans="1:7">
      <c r="A24" s="6" t="s">
        <v>33</v>
      </c>
      <c r="B24" s="6" t="s">
        <v>34</v>
      </c>
      <c r="C24" s="1">
        <v>46230</v>
      </c>
      <c r="D24" s="2">
        <v>17</v>
      </c>
      <c r="E24" s="2">
        <v>17.2</v>
      </c>
      <c r="F24" s="2">
        <v>16.2</v>
      </c>
      <c r="G24" s="2">
        <f>IF(COUNT(JumpData3[[#This Row],[Jump 1 (in)]:[Jump 3 (in)]])=0,"",AVERAGE(JumpData3[[#This Row],[Jump 1 (in)]:[Jump 3 (in)]]))</f>
        <v>16.8</v>
      </c>
    </row>
    <row r="25" spans="1:7">
      <c r="A25" s="6" t="s">
        <v>74</v>
      </c>
      <c r="B25" s="6" t="s">
        <v>43</v>
      </c>
      <c r="C25" s="1">
        <v>46230</v>
      </c>
      <c r="D25" s="2">
        <v>14.4</v>
      </c>
      <c r="E25" s="2">
        <v>14.4</v>
      </c>
      <c r="F25" s="2">
        <v>13.6</v>
      </c>
      <c r="G25" s="2">
        <f>IF(COUNT(JumpData3[[#This Row],[Jump 1 (in)]:[Jump 3 (in)]])=0,"",AVERAGE(JumpData3[[#This Row],[Jump 1 (in)]:[Jump 3 (in)]]))</f>
        <v>14.133333333333333</v>
      </c>
    </row>
    <row r="26" spans="1:7">
      <c r="A26" s="6" t="s">
        <v>29</v>
      </c>
      <c r="B26" s="6" t="s">
        <v>30</v>
      </c>
      <c r="C26" s="1">
        <v>46230</v>
      </c>
      <c r="D26" s="2">
        <v>17</v>
      </c>
      <c r="E26" s="2">
        <v>17.2</v>
      </c>
      <c r="F26" s="2">
        <v>16.7</v>
      </c>
      <c r="G26" s="2">
        <f>IF(COUNT(JumpData3[[#This Row],[Jump 1 (in)]:[Jump 3 (in)]])=0,"",AVERAGE(JumpData3[[#This Row],[Jump 1 (in)]:[Jump 3 (in)]]))</f>
        <v>16.966666666666669</v>
      </c>
    </row>
    <row r="27" spans="1:7">
      <c r="A27" s="7" t="s">
        <v>75</v>
      </c>
      <c r="B27" s="6" t="s">
        <v>18</v>
      </c>
      <c r="C27" s="1">
        <v>46230</v>
      </c>
      <c r="D27" s="2">
        <v>15.4</v>
      </c>
      <c r="E27" s="2">
        <v>16.399999999999999</v>
      </c>
      <c r="F27" s="2">
        <v>15.4</v>
      </c>
      <c r="G27" s="2">
        <f>IF(COUNT(JumpData3[[#This Row],[Jump 1 (in)]:[Jump 3 (in)]])=0,"",AVERAGE(JumpData3[[#This Row],[Jump 1 (in)]:[Jump 3 (in)]]))</f>
        <v>15.733333333333333</v>
      </c>
    </row>
    <row r="28" spans="1:7">
      <c r="A28" s="6" t="s">
        <v>41</v>
      </c>
      <c r="B28" s="6" t="s">
        <v>42</v>
      </c>
      <c r="C28" s="1">
        <v>46230</v>
      </c>
      <c r="D28" s="2">
        <v>15.2</v>
      </c>
      <c r="E28" s="2">
        <v>16.399999999999999</v>
      </c>
      <c r="F28" s="2">
        <v>15.4</v>
      </c>
      <c r="G28" s="2">
        <f>IF(COUNT(JumpData3[[#This Row],[Jump 1 (in)]:[Jump 3 (in)]])=0,"",AVERAGE(JumpData3[[#This Row],[Jump 1 (in)]:[Jump 3 (in)]]))</f>
        <v>15.666666666666666</v>
      </c>
    </row>
    <row r="29" spans="1:7">
      <c r="G29" s="2" t="str">
        <f>IFERROR(MAX(JumpData3[[#This Row],[Jump 1 (in)]:[Jump 3 (in)]]),"")</f>
        <v/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8C2DA-1DCB-1448-B91B-9EEDF7BF96F0}">
  <dimension ref="A1:G29"/>
  <sheetViews>
    <sheetView zoomScale="112" workbookViewId="0">
      <selection activeCell="I22" sqref="I22"/>
    </sheetView>
  </sheetViews>
  <sheetFormatPr defaultColWidth="11" defaultRowHeight="15.75"/>
  <cols>
    <col min="1" max="2" width="15" customWidth="1"/>
    <col min="3" max="3" width="15" style="1" customWidth="1"/>
    <col min="4" max="4" width="15" style="2" customWidth="1"/>
    <col min="5" max="7" width="14.125" style="2" customWidth="1"/>
  </cols>
  <sheetData>
    <row r="1" spans="1:7">
      <c r="A1" s="37" t="s">
        <v>77</v>
      </c>
      <c r="B1" s="38"/>
      <c r="C1" s="38"/>
      <c r="D1" s="38"/>
      <c r="E1" s="38"/>
      <c r="F1" s="38"/>
      <c r="G1" s="39"/>
    </row>
    <row r="2" spans="1:7" ht="24" customHeight="1">
      <c r="A2" s="3" t="s">
        <v>5</v>
      </c>
      <c r="B2" s="3" t="s">
        <v>6</v>
      </c>
      <c r="C2" s="4" t="s">
        <v>0</v>
      </c>
      <c r="D2" s="5" t="s">
        <v>61</v>
      </c>
      <c r="E2" s="5" t="s">
        <v>62</v>
      </c>
      <c r="F2" s="5" t="s">
        <v>63</v>
      </c>
      <c r="G2" s="5" t="s">
        <v>64</v>
      </c>
    </row>
    <row r="3" spans="1:7">
      <c r="A3" s="6" t="s">
        <v>65</v>
      </c>
      <c r="B3" s="6" t="s">
        <v>40</v>
      </c>
      <c r="C3" s="1">
        <v>46233</v>
      </c>
      <c r="D3" s="2">
        <v>16.100000000000001</v>
      </c>
      <c r="E3" s="2">
        <v>14.8</v>
      </c>
      <c r="F3" s="2">
        <v>15.4</v>
      </c>
      <c r="G3" s="2">
        <f>IF(COUNT(JumpData35[[#This Row],[Jump 1 (in)]:[Jump 3 (in)]])=0,"",AVERAGE(JumpData35[[#This Row],[Jump 1 (in)]:[Jump 3 (in)]]))</f>
        <v>15.433333333333335</v>
      </c>
    </row>
    <row r="4" spans="1:7">
      <c r="A4" s="6" t="s">
        <v>48</v>
      </c>
      <c r="B4" s="6" t="s">
        <v>49</v>
      </c>
      <c r="C4" s="1">
        <v>46233</v>
      </c>
      <c r="D4" s="2">
        <v>14.9</v>
      </c>
      <c r="E4" s="2">
        <v>14.5</v>
      </c>
      <c r="F4" s="2">
        <v>14.8</v>
      </c>
      <c r="G4" s="2">
        <f>IF(COUNT(JumpData35[[#This Row],[Jump 1 (in)]:[Jump 3 (in)]])=0,"",AVERAGE(JumpData35[[#This Row],[Jump 1 (in)]:[Jump 3 (in)]]))</f>
        <v>14.733333333333334</v>
      </c>
    </row>
    <row r="5" spans="1:7">
      <c r="A5" s="6" t="s">
        <v>46</v>
      </c>
      <c r="B5" s="6" t="s">
        <v>47</v>
      </c>
      <c r="C5" s="1">
        <v>46233</v>
      </c>
      <c r="D5" s="2">
        <v>13.6</v>
      </c>
      <c r="E5" s="2">
        <v>14.6</v>
      </c>
      <c r="F5" s="2">
        <v>13.4</v>
      </c>
      <c r="G5" s="2">
        <f>IF(COUNT(JumpData35[[#This Row],[Jump 1 (in)]:[Jump 3 (in)]])=0,"",AVERAGE(JumpData35[[#This Row],[Jump 1 (in)]:[Jump 3 (in)]]))</f>
        <v>13.866666666666667</v>
      </c>
    </row>
    <row r="6" spans="1:7">
      <c r="A6" s="6" t="s">
        <v>36</v>
      </c>
      <c r="B6" s="6" t="s">
        <v>37</v>
      </c>
      <c r="C6" s="1">
        <v>46233</v>
      </c>
      <c r="D6" s="2">
        <v>17.7</v>
      </c>
      <c r="E6" s="2">
        <v>16.899999999999999</v>
      </c>
      <c r="F6" s="2">
        <v>16.600000000000001</v>
      </c>
      <c r="G6" s="2">
        <f>IF(COUNT(JumpData35[[#This Row],[Jump 1 (in)]:[Jump 3 (in)]])=0,"",AVERAGE(JumpData35[[#This Row],[Jump 1 (in)]:[Jump 3 (in)]]))</f>
        <v>17.066666666666666</v>
      </c>
    </row>
    <row r="7" spans="1:7">
      <c r="A7" s="6" t="s">
        <v>23</v>
      </c>
      <c r="B7" s="6" t="s">
        <v>24</v>
      </c>
      <c r="C7" s="1">
        <v>46233</v>
      </c>
      <c r="D7" s="2">
        <v>17.8</v>
      </c>
      <c r="E7" s="2">
        <v>18.3</v>
      </c>
      <c r="F7" s="2">
        <v>17.7</v>
      </c>
      <c r="G7" s="2">
        <f>IF(COUNT(JumpData35[[#This Row],[Jump 1 (in)]:[Jump 3 (in)]])=0,"",AVERAGE(JumpData35[[#This Row],[Jump 1 (in)]:[Jump 3 (in)]]))</f>
        <v>17.933333333333334</v>
      </c>
    </row>
    <row r="8" spans="1:7">
      <c r="A8" s="6" t="s">
        <v>10</v>
      </c>
      <c r="B8" s="6" t="s">
        <v>66</v>
      </c>
      <c r="C8" s="1">
        <v>46233</v>
      </c>
      <c r="G8" s="2" t="str">
        <f>IF(COUNT(JumpData35[[#This Row],[Jump 1 (in)]:[Jump 3 (in)]])=0,"",AVERAGE(JumpData35[[#This Row],[Jump 1 (in)]:[Jump 3 (in)]]))</f>
        <v/>
      </c>
    </row>
    <row r="9" spans="1:7">
      <c r="A9" s="6" t="s">
        <v>11</v>
      </c>
      <c r="B9" s="6" t="s">
        <v>12</v>
      </c>
      <c r="C9" s="1">
        <v>46233</v>
      </c>
      <c r="G9" s="2" t="str">
        <f>IF(COUNT(JumpData35[[#This Row],[Jump 1 (in)]:[Jump 3 (in)]])=0,"",AVERAGE(JumpData35[[#This Row],[Jump 1 (in)]:[Jump 3 (in)]]))</f>
        <v/>
      </c>
    </row>
    <row r="10" spans="1:7">
      <c r="A10" s="6" t="s">
        <v>25</v>
      </c>
      <c r="B10" s="6" t="s">
        <v>26</v>
      </c>
      <c r="C10" s="1">
        <v>46233</v>
      </c>
      <c r="D10" s="2">
        <v>14.9</v>
      </c>
      <c r="E10" s="2">
        <v>15.6</v>
      </c>
      <c r="F10" s="2">
        <v>15.6</v>
      </c>
      <c r="G10" s="2">
        <f>IF(COUNT(JumpData35[[#This Row],[Jump 1 (in)]:[Jump 3 (in)]])=0,"",AVERAGE(JumpData35[[#This Row],[Jump 1 (in)]:[Jump 3 (in)]]))</f>
        <v>15.366666666666667</v>
      </c>
    </row>
    <row r="11" spans="1:7">
      <c r="A11" s="6" t="s">
        <v>67</v>
      </c>
      <c r="B11" s="6" t="s">
        <v>17</v>
      </c>
      <c r="C11" s="1">
        <v>46233</v>
      </c>
      <c r="D11" s="2">
        <v>18.600000000000001</v>
      </c>
      <c r="E11" s="2">
        <v>18.2</v>
      </c>
      <c r="F11" s="2">
        <v>18.899999999999999</v>
      </c>
      <c r="G11" s="2">
        <f>IF(COUNT(JumpData35[[#This Row],[Jump 1 (in)]:[Jump 3 (in)]])=0,"",AVERAGE(JumpData35[[#This Row],[Jump 1 (in)]:[Jump 3 (in)]]))</f>
        <v>18.566666666666666</v>
      </c>
    </row>
    <row r="12" spans="1:7">
      <c r="A12" s="6" t="s">
        <v>68</v>
      </c>
      <c r="B12" s="6" t="s">
        <v>35</v>
      </c>
      <c r="C12" s="1">
        <v>46233</v>
      </c>
      <c r="D12" s="2">
        <v>15.3</v>
      </c>
      <c r="E12" s="2">
        <v>14.3</v>
      </c>
      <c r="F12" s="2">
        <v>15.3</v>
      </c>
      <c r="G12" s="2">
        <f>IF(COUNT(JumpData35[[#This Row],[Jump 1 (in)]:[Jump 3 (in)]])=0,"",AVERAGE(JumpData35[[#This Row],[Jump 1 (in)]:[Jump 3 (in)]]))</f>
        <v>14.966666666666669</v>
      </c>
    </row>
    <row r="13" spans="1:7">
      <c r="A13" s="6" t="s">
        <v>21</v>
      </c>
      <c r="B13" s="6" t="s">
        <v>22</v>
      </c>
      <c r="C13" s="1">
        <v>46233</v>
      </c>
      <c r="D13" s="2">
        <v>17.899999999999999</v>
      </c>
      <c r="E13" s="2">
        <v>17</v>
      </c>
      <c r="F13" s="2">
        <v>16.5</v>
      </c>
      <c r="G13" s="2">
        <f>IF(COUNT(JumpData35[[#This Row],[Jump 1 (in)]:[Jump 3 (in)]])=0,"",AVERAGE(JumpData35[[#This Row],[Jump 1 (in)]:[Jump 3 (in)]]))</f>
        <v>17.133333333333333</v>
      </c>
    </row>
    <row r="14" spans="1:7">
      <c r="A14" s="6" t="s">
        <v>13</v>
      </c>
      <c r="B14" s="6" t="s">
        <v>14</v>
      </c>
      <c r="C14" s="1">
        <v>46233</v>
      </c>
      <c r="G14" s="2" t="str">
        <f>IF(COUNT(JumpData35[[#This Row],[Jump 1 (in)]:[Jump 3 (in)]])=0,"",AVERAGE(JumpData35[[#This Row],[Jump 1 (in)]:[Jump 3 (in)]]))</f>
        <v/>
      </c>
    </row>
    <row r="15" spans="1:7">
      <c r="A15" s="6" t="s">
        <v>44</v>
      </c>
      <c r="B15" s="6" t="s">
        <v>45</v>
      </c>
      <c r="C15" s="1">
        <v>46233</v>
      </c>
      <c r="D15" s="2">
        <v>13.4</v>
      </c>
      <c r="E15" s="2">
        <v>15.5</v>
      </c>
      <c r="F15" s="2">
        <v>15.8</v>
      </c>
      <c r="G15" s="2">
        <f>IF(COUNT(JumpData35[[#This Row],[Jump 1 (in)]:[Jump 3 (in)]])=0,"",AVERAGE(JumpData35[[#This Row],[Jump 1 (in)]:[Jump 3 (in)]]))</f>
        <v>14.9</v>
      </c>
    </row>
    <row r="16" spans="1:7">
      <c r="A16" s="6" t="s">
        <v>70</v>
      </c>
      <c r="B16" s="6" t="s">
        <v>28</v>
      </c>
      <c r="C16" s="1">
        <v>46233</v>
      </c>
      <c r="D16" s="2">
        <v>16.399999999999999</v>
      </c>
      <c r="E16" s="2">
        <v>17.100000000000001</v>
      </c>
      <c r="F16" s="2">
        <v>16.3</v>
      </c>
      <c r="G16" s="2">
        <f>IF(COUNT(JumpData35[[#This Row],[Jump 1 (in)]:[Jump 3 (in)]])=0,"",AVERAGE(JumpData35[[#This Row],[Jump 1 (in)]:[Jump 3 (in)]]))</f>
        <v>16.599999999999998</v>
      </c>
    </row>
    <row r="17" spans="1:7">
      <c r="A17" s="6" t="s">
        <v>71</v>
      </c>
      <c r="B17" s="6" t="s">
        <v>17</v>
      </c>
      <c r="C17" s="1">
        <v>46233</v>
      </c>
      <c r="D17" s="2">
        <v>12.9</v>
      </c>
      <c r="E17" s="2">
        <v>13.5</v>
      </c>
      <c r="F17" s="2">
        <v>12.8</v>
      </c>
      <c r="G17" s="2">
        <f>IF(COUNT(JumpData35[[#This Row],[Jump 1 (in)]:[Jump 3 (in)]])=0,"",AVERAGE(JumpData35[[#This Row],[Jump 1 (in)]:[Jump 3 (in)]]))</f>
        <v>13.066666666666668</v>
      </c>
    </row>
    <row r="18" spans="1:7">
      <c r="A18" s="6" t="s">
        <v>31</v>
      </c>
      <c r="B18" s="6" t="s">
        <v>32</v>
      </c>
      <c r="C18" s="1">
        <v>46233</v>
      </c>
      <c r="D18" s="2">
        <v>16.7</v>
      </c>
      <c r="E18" s="2">
        <v>15.5</v>
      </c>
      <c r="F18" s="2">
        <v>16.3</v>
      </c>
      <c r="G18" s="2">
        <f>IF(COUNT(JumpData35[[#This Row],[Jump 1 (in)]:[Jump 3 (in)]])=0,"",AVERAGE(JumpData35[[#This Row],[Jump 1 (in)]:[Jump 3 (in)]]))</f>
        <v>16.166666666666668</v>
      </c>
    </row>
    <row r="19" spans="1:7">
      <c r="A19" s="6" t="s">
        <v>72</v>
      </c>
      <c r="B19" s="6" t="s">
        <v>50</v>
      </c>
      <c r="C19" s="1">
        <v>46233</v>
      </c>
      <c r="D19" s="2">
        <v>14.5</v>
      </c>
      <c r="E19" s="2">
        <v>12.7</v>
      </c>
      <c r="F19" s="2">
        <v>12.6</v>
      </c>
      <c r="G19" s="2">
        <f>IF(COUNT(JumpData35[[#This Row],[Jump 1 (in)]:[Jump 3 (in)]])=0,"",AVERAGE(JumpData35[[#This Row],[Jump 1 (in)]:[Jump 3 (in)]]))</f>
        <v>13.266666666666666</v>
      </c>
    </row>
    <row r="20" spans="1:7">
      <c r="A20" s="6" t="s">
        <v>15</v>
      </c>
      <c r="B20" s="6" t="s">
        <v>16</v>
      </c>
      <c r="C20" s="1">
        <v>46233</v>
      </c>
      <c r="D20" s="2">
        <v>20.399999999999999</v>
      </c>
      <c r="E20" s="2">
        <v>20.8</v>
      </c>
      <c r="F20" s="2">
        <v>21.2</v>
      </c>
      <c r="G20" s="2">
        <f>IF(COUNT(JumpData35[[#This Row],[Jump 1 (in)]:[Jump 3 (in)]])=0,"",AVERAGE(JumpData35[[#This Row],[Jump 1 (in)]:[Jump 3 (in)]]))</f>
        <v>20.8</v>
      </c>
    </row>
    <row r="21" spans="1:7">
      <c r="A21" s="6" t="s">
        <v>38</v>
      </c>
      <c r="B21" s="6" t="s">
        <v>39</v>
      </c>
      <c r="C21" s="1">
        <v>46233</v>
      </c>
      <c r="D21" s="2">
        <v>14.3</v>
      </c>
      <c r="E21" s="2">
        <v>14.6</v>
      </c>
      <c r="F21" s="2">
        <v>14.2</v>
      </c>
      <c r="G21" s="2">
        <f>IF(COUNT(JumpData35[[#This Row],[Jump 1 (in)]:[Jump 3 (in)]])=0,"",AVERAGE(JumpData35[[#This Row],[Jump 1 (in)]:[Jump 3 (in)]]))</f>
        <v>14.366666666666665</v>
      </c>
    </row>
    <row r="22" spans="1:7">
      <c r="A22" s="6" t="s">
        <v>19</v>
      </c>
      <c r="B22" s="6" t="s">
        <v>20</v>
      </c>
      <c r="C22" s="1">
        <v>46233</v>
      </c>
      <c r="D22" s="2">
        <v>16.5</v>
      </c>
      <c r="E22" s="2">
        <v>15.6</v>
      </c>
      <c r="F22" s="2">
        <v>16.8</v>
      </c>
      <c r="G22" s="2">
        <f>IF(COUNT(JumpData35[[#This Row],[Jump 1 (in)]:[Jump 3 (in)]])=0,"",AVERAGE(JumpData35[[#This Row],[Jump 1 (in)]:[Jump 3 (in)]]))</f>
        <v>16.3</v>
      </c>
    </row>
    <row r="23" spans="1:7">
      <c r="A23" s="6" t="s">
        <v>27</v>
      </c>
      <c r="B23" s="6" t="s">
        <v>73</v>
      </c>
      <c r="C23" s="1">
        <v>46233</v>
      </c>
      <c r="D23" s="2">
        <v>17</v>
      </c>
      <c r="E23" s="2">
        <v>17.100000000000001</v>
      </c>
      <c r="F23" s="2">
        <v>16.3</v>
      </c>
      <c r="G23" s="2">
        <f>IF(COUNT(JumpData35[[#This Row],[Jump 1 (in)]:[Jump 3 (in)]])=0,"",AVERAGE(JumpData35[[#This Row],[Jump 1 (in)]:[Jump 3 (in)]]))</f>
        <v>16.8</v>
      </c>
    </row>
    <row r="24" spans="1:7">
      <c r="A24" s="6" t="s">
        <v>33</v>
      </c>
      <c r="B24" s="6" t="s">
        <v>34</v>
      </c>
      <c r="C24" s="1">
        <v>46233</v>
      </c>
      <c r="D24" s="2">
        <v>17.600000000000001</v>
      </c>
      <c r="E24" s="2">
        <v>17.399999999999999</v>
      </c>
      <c r="F24" s="2">
        <v>16.600000000000001</v>
      </c>
      <c r="G24" s="2">
        <f>IF(COUNT(JumpData35[[#This Row],[Jump 1 (in)]:[Jump 3 (in)]])=0,"",AVERAGE(JumpData35[[#This Row],[Jump 1 (in)]:[Jump 3 (in)]]))</f>
        <v>17.2</v>
      </c>
    </row>
    <row r="25" spans="1:7">
      <c r="A25" s="6" t="s">
        <v>74</v>
      </c>
      <c r="B25" s="6" t="s">
        <v>43</v>
      </c>
      <c r="C25" s="1">
        <v>46233</v>
      </c>
      <c r="D25" s="2">
        <v>14.8</v>
      </c>
      <c r="E25" s="2">
        <v>14.4</v>
      </c>
      <c r="F25" s="2">
        <v>14.5</v>
      </c>
      <c r="G25" s="2">
        <f>IF(COUNT(JumpData35[[#This Row],[Jump 1 (in)]:[Jump 3 (in)]])=0,"",AVERAGE(JumpData35[[#This Row],[Jump 1 (in)]:[Jump 3 (in)]]))</f>
        <v>14.566666666666668</v>
      </c>
    </row>
    <row r="26" spans="1:7">
      <c r="A26" s="6" t="s">
        <v>29</v>
      </c>
      <c r="B26" s="6" t="s">
        <v>30</v>
      </c>
      <c r="C26" s="1">
        <v>46233</v>
      </c>
      <c r="D26" s="2">
        <v>17</v>
      </c>
      <c r="E26" s="2">
        <v>16.5</v>
      </c>
      <c r="F26" s="2">
        <v>16</v>
      </c>
      <c r="G26" s="2">
        <f>IF(COUNT(JumpData35[[#This Row],[Jump 1 (in)]:[Jump 3 (in)]])=0,"",AVERAGE(JumpData35[[#This Row],[Jump 1 (in)]:[Jump 3 (in)]]))</f>
        <v>16.5</v>
      </c>
    </row>
    <row r="27" spans="1:7">
      <c r="A27" s="7" t="s">
        <v>75</v>
      </c>
      <c r="B27" s="6" t="s">
        <v>18</v>
      </c>
      <c r="C27" s="1">
        <v>46233</v>
      </c>
      <c r="D27" s="2">
        <v>15.1</v>
      </c>
      <c r="E27" s="2">
        <v>15.7</v>
      </c>
      <c r="F27" s="2">
        <v>16</v>
      </c>
      <c r="G27" s="2">
        <f>IF(COUNT(JumpData35[[#This Row],[Jump 1 (in)]:[Jump 3 (in)]])=0,"",AVERAGE(JumpData35[[#This Row],[Jump 1 (in)]:[Jump 3 (in)]]))</f>
        <v>15.6</v>
      </c>
    </row>
    <row r="28" spans="1:7">
      <c r="A28" s="6" t="s">
        <v>41</v>
      </c>
      <c r="B28" s="6" t="s">
        <v>42</v>
      </c>
      <c r="C28" s="1">
        <v>46233</v>
      </c>
      <c r="D28" s="2">
        <v>15.4</v>
      </c>
      <c r="E28" s="2">
        <v>15.3</v>
      </c>
      <c r="F28" s="2">
        <v>15.4</v>
      </c>
      <c r="G28" s="2">
        <f>IF(COUNT(JumpData35[[#This Row],[Jump 1 (in)]:[Jump 3 (in)]])=0,"",AVERAGE(JumpData35[[#This Row],[Jump 1 (in)]:[Jump 3 (in)]]))</f>
        <v>15.366666666666667</v>
      </c>
    </row>
    <row r="29" spans="1:7">
      <c r="G29" s="2" t="str">
        <f>IFERROR(MAX(JumpData35[[#This Row],[Jump 1 (in)]:[Jump 3 (in)]]),"")</f>
        <v/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306EA-C163-5E44-967D-4271ACF21109}">
  <dimension ref="A1:G29"/>
  <sheetViews>
    <sheetView zoomScale="112" workbookViewId="0">
      <selection activeCell="F18" sqref="F18"/>
    </sheetView>
  </sheetViews>
  <sheetFormatPr defaultColWidth="11" defaultRowHeight="15.75"/>
  <cols>
    <col min="1" max="2" width="15" customWidth="1"/>
    <col min="3" max="3" width="15" style="1" customWidth="1"/>
    <col min="4" max="4" width="15" style="2" customWidth="1"/>
    <col min="5" max="7" width="14.125" style="2" customWidth="1"/>
  </cols>
  <sheetData>
    <row r="1" spans="1:7">
      <c r="A1" s="37" t="s">
        <v>78</v>
      </c>
      <c r="B1" s="38"/>
      <c r="C1" s="38"/>
      <c r="D1" s="38"/>
      <c r="E1" s="38"/>
      <c r="F1" s="38"/>
      <c r="G1" s="39"/>
    </row>
    <row r="2" spans="1:7" ht="24" customHeight="1">
      <c r="A2" s="3" t="s">
        <v>5</v>
      </c>
      <c r="B2" s="3" t="s">
        <v>6</v>
      </c>
      <c r="C2" s="4" t="s">
        <v>0</v>
      </c>
      <c r="D2" s="5" t="s">
        <v>61</v>
      </c>
      <c r="E2" s="5" t="s">
        <v>62</v>
      </c>
      <c r="F2" s="5" t="s">
        <v>63</v>
      </c>
      <c r="G2" s="5" t="s">
        <v>64</v>
      </c>
    </row>
    <row r="3" spans="1:7">
      <c r="A3" s="6" t="s">
        <v>65</v>
      </c>
      <c r="B3" s="6" t="s">
        <v>40</v>
      </c>
      <c r="C3" s="1">
        <v>46237</v>
      </c>
      <c r="D3" s="2">
        <v>15.1</v>
      </c>
      <c r="E3" s="2">
        <v>14.8</v>
      </c>
      <c r="F3" s="2">
        <v>16.8</v>
      </c>
      <c r="G3" s="2">
        <f>IF(COUNT(JumpData354[[#This Row],[Jump 1 (in)]:[Jump 3 (in)]])=0,"",AVERAGE(JumpData354[[#This Row],[Jump 1 (in)]:[Jump 3 (in)]]))</f>
        <v>15.566666666666668</v>
      </c>
    </row>
    <row r="4" spans="1:7">
      <c r="A4" s="6" t="s">
        <v>48</v>
      </c>
      <c r="B4" s="6" t="s">
        <v>49</v>
      </c>
      <c r="C4" s="1">
        <v>46237</v>
      </c>
      <c r="D4" s="2">
        <v>13.8</v>
      </c>
      <c r="E4" s="2">
        <v>14</v>
      </c>
      <c r="F4" s="2">
        <v>13.1</v>
      </c>
      <c r="G4" s="2">
        <f>IF(COUNT(JumpData354[[#This Row],[Jump 1 (in)]:[Jump 3 (in)]])=0,"",AVERAGE(JumpData354[[#This Row],[Jump 1 (in)]:[Jump 3 (in)]]))</f>
        <v>13.633333333333333</v>
      </c>
    </row>
    <row r="5" spans="1:7">
      <c r="A5" s="6" t="s">
        <v>46</v>
      </c>
      <c r="B5" s="6" t="s">
        <v>47</v>
      </c>
      <c r="C5" s="1">
        <v>46237</v>
      </c>
      <c r="D5" s="2">
        <v>13.4</v>
      </c>
      <c r="E5" s="2">
        <v>13</v>
      </c>
      <c r="F5" s="2">
        <v>12.8</v>
      </c>
      <c r="G5" s="2">
        <f>IF(COUNT(JumpData354[[#This Row],[Jump 1 (in)]:[Jump 3 (in)]])=0,"",AVERAGE(JumpData354[[#This Row],[Jump 1 (in)]:[Jump 3 (in)]]))</f>
        <v>13.066666666666668</v>
      </c>
    </row>
    <row r="6" spans="1:7">
      <c r="A6" s="6" t="s">
        <v>36</v>
      </c>
      <c r="B6" s="6" t="s">
        <v>37</v>
      </c>
      <c r="C6" s="1">
        <v>46237</v>
      </c>
      <c r="D6" s="2">
        <v>17.7</v>
      </c>
      <c r="E6" s="2">
        <v>17.2</v>
      </c>
      <c r="F6" s="2">
        <v>15.7</v>
      </c>
      <c r="G6" s="2">
        <f>IF(COUNT(JumpData354[[#This Row],[Jump 1 (in)]:[Jump 3 (in)]])=0,"",AVERAGE(JumpData354[[#This Row],[Jump 1 (in)]:[Jump 3 (in)]]))</f>
        <v>16.866666666666664</v>
      </c>
    </row>
    <row r="7" spans="1:7">
      <c r="A7" s="6" t="s">
        <v>23</v>
      </c>
      <c r="B7" s="6" t="s">
        <v>24</v>
      </c>
      <c r="C7" s="1">
        <v>46237</v>
      </c>
      <c r="D7" s="2">
        <v>18.7</v>
      </c>
      <c r="E7" s="2">
        <v>18.100000000000001</v>
      </c>
      <c r="F7" s="2">
        <v>17.5</v>
      </c>
      <c r="G7" s="2">
        <f>IF(COUNT(JumpData354[[#This Row],[Jump 1 (in)]:[Jump 3 (in)]])=0,"",AVERAGE(JumpData354[[#This Row],[Jump 1 (in)]:[Jump 3 (in)]]))</f>
        <v>18.099999999999998</v>
      </c>
    </row>
    <row r="8" spans="1:7">
      <c r="A8" s="6" t="s">
        <v>10</v>
      </c>
      <c r="B8" s="6" t="s">
        <v>66</v>
      </c>
      <c r="C8" s="1">
        <v>46237</v>
      </c>
      <c r="G8" s="2" t="str">
        <f>IF(COUNT(JumpData354[[#This Row],[Jump 1 (in)]:[Jump 3 (in)]])=0,"",AVERAGE(JumpData354[[#This Row],[Jump 1 (in)]:[Jump 3 (in)]]))</f>
        <v/>
      </c>
    </row>
    <row r="9" spans="1:7">
      <c r="A9" s="6" t="s">
        <v>11</v>
      </c>
      <c r="B9" s="6" t="s">
        <v>12</v>
      </c>
      <c r="C9" s="1">
        <v>46237</v>
      </c>
      <c r="G9" s="2" t="str">
        <f>IF(COUNT(JumpData354[[#This Row],[Jump 1 (in)]:[Jump 3 (in)]])=0,"",AVERAGE(JumpData354[[#This Row],[Jump 1 (in)]:[Jump 3 (in)]]))</f>
        <v/>
      </c>
    </row>
    <row r="10" spans="1:7">
      <c r="A10" s="6" t="s">
        <v>25</v>
      </c>
      <c r="B10" s="6" t="s">
        <v>26</v>
      </c>
      <c r="C10" s="1">
        <v>46237</v>
      </c>
      <c r="D10" s="2">
        <v>15.5</v>
      </c>
      <c r="E10" s="2">
        <v>15.3</v>
      </c>
      <c r="F10" s="2">
        <v>15.9</v>
      </c>
      <c r="G10" s="2">
        <f>IF(COUNT(JumpData354[[#This Row],[Jump 1 (in)]:[Jump 3 (in)]])=0,"",AVERAGE(JumpData354[[#This Row],[Jump 1 (in)]:[Jump 3 (in)]]))</f>
        <v>15.566666666666668</v>
      </c>
    </row>
    <row r="11" spans="1:7">
      <c r="A11" s="6" t="s">
        <v>67</v>
      </c>
      <c r="B11" s="6" t="s">
        <v>17</v>
      </c>
      <c r="C11" s="1">
        <v>46237</v>
      </c>
      <c r="D11" s="2">
        <v>17.2</v>
      </c>
      <c r="E11" s="2">
        <v>17.899999999999999</v>
      </c>
      <c r="F11" s="2">
        <v>18.5</v>
      </c>
      <c r="G11" s="2">
        <f>IF(COUNT(JumpData354[[#This Row],[Jump 1 (in)]:[Jump 3 (in)]])=0,"",AVERAGE(JumpData354[[#This Row],[Jump 1 (in)]:[Jump 3 (in)]]))</f>
        <v>17.866666666666664</v>
      </c>
    </row>
    <row r="12" spans="1:7">
      <c r="A12" s="6" t="s">
        <v>68</v>
      </c>
      <c r="B12" s="6" t="s">
        <v>35</v>
      </c>
      <c r="C12" s="1">
        <v>46237</v>
      </c>
      <c r="D12" s="2">
        <v>17.100000000000001</v>
      </c>
      <c r="E12" s="2">
        <v>15.7</v>
      </c>
      <c r="F12" s="2">
        <v>16.100000000000001</v>
      </c>
      <c r="G12" s="2">
        <f>IF(COUNT(JumpData354[[#This Row],[Jump 1 (in)]:[Jump 3 (in)]])=0,"",AVERAGE(JumpData354[[#This Row],[Jump 1 (in)]:[Jump 3 (in)]]))</f>
        <v>16.3</v>
      </c>
    </row>
    <row r="13" spans="1:7">
      <c r="A13" s="6" t="s">
        <v>21</v>
      </c>
      <c r="B13" s="6" t="s">
        <v>22</v>
      </c>
      <c r="C13" s="1">
        <v>46237</v>
      </c>
      <c r="D13" s="2">
        <v>16.8</v>
      </c>
      <c r="E13" s="2">
        <v>17.2</v>
      </c>
      <c r="F13" s="2">
        <v>17</v>
      </c>
      <c r="G13" s="2">
        <f>IF(COUNT(JumpData354[[#This Row],[Jump 1 (in)]:[Jump 3 (in)]])=0,"",AVERAGE(JumpData354[[#This Row],[Jump 1 (in)]:[Jump 3 (in)]]))</f>
        <v>17</v>
      </c>
    </row>
    <row r="14" spans="1:7">
      <c r="A14" s="6" t="s">
        <v>13</v>
      </c>
      <c r="B14" s="6" t="s">
        <v>14</v>
      </c>
      <c r="C14" s="1">
        <v>46237</v>
      </c>
      <c r="G14" s="2" t="str">
        <f>IF(COUNT(JumpData354[[#This Row],[Jump 1 (in)]:[Jump 3 (in)]])=0,"",AVERAGE(JumpData354[[#This Row],[Jump 1 (in)]:[Jump 3 (in)]]))</f>
        <v/>
      </c>
    </row>
    <row r="15" spans="1:7">
      <c r="A15" s="6" t="s">
        <v>44</v>
      </c>
      <c r="B15" s="6" t="s">
        <v>45</v>
      </c>
      <c r="C15" s="1">
        <v>46237</v>
      </c>
      <c r="D15" s="2">
        <v>14.5</v>
      </c>
      <c r="E15" s="2">
        <v>14.8</v>
      </c>
      <c r="F15" s="2">
        <v>14</v>
      </c>
      <c r="G15" s="2">
        <f>IF(COUNT(JumpData354[[#This Row],[Jump 1 (in)]:[Jump 3 (in)]])=0,"",AVERAGE(JumpData354[[#This Row],[Jump 1 (in)]:[Jump 3 (in)]]))</f>
        <v>14.433333333333332</v>
      </c>
    </row>
    <row r="16" spans="1:7">
      <c r="A16" s="6" t="s">
        <v>70</v>
      </c>
      <c r="B16" s="6" t="s">
        <v>28</v>
      </c>
      <c r="C16" s="1">
        <v>46237</v>
      </c>
      <c r="D16" s="2">
        <v>17.399999999999999</v>
      </c>
      <c r="E16" s="2">
        <v>17.3</v>
      </c>
      <c r="F16" s="2">
        <v>17.3</v>
      </c>
      <c r="G16" s="2">
        <f>IF(COUNT(JumpData354[[#This Row],[Jump 1 (in)]:[Jump 3 (in)]])=0,"",AVERAGE(JumpData354[[#This Row],[Jump 1 (in)]:[Jump 3 (in)]]))</f>
        <v>17.333333333333332</v>
      </c>
    </row>
    <row r="17" spans="1:7">
      <c r="A17" s="6" t="s">
        <v>31</v>
      </c>
      <c r="B17" s="6" t="s">
        <v>17</v>
      </c>
      <c r="C17" s="1">
        <v>46237</v>
      </c>
      <c r="D17" s="2">
        <v>10.8</v>
      </c>
      <c r="E17" s="2">
        <v>7.7</v>
      </c>
      <c r="F17" s="2">
        <v>9</v>
      </c>
      <c r="G17" s="2">
        <f>IF(COUNT(JumpData354[[#This Row],[Jump 1 (in)]:[Jump 3 (in)]])=0,"",AVERAGE(JumpData354[[#This Row],[Jump 1 (in)]:[Jump 3 (in)]]))</f>
        <v>9.1666666666666661</v>
      </c>
    </row>
    <row r="18" spans="1:7">
      <c r="A18" s="6" t="s">
        <v>31</v>
      </c>
      <c r="B18" s="6" t="s">
        <v>32</v>
      </c>
      <c r="C18" s="1">
        <v>46237</v>
      </c>
      <c r="D18" s="2">
        <v>17.7</v>
      </c>
      <c r="E18" s="2">
        <v>14.8</v>
      </c>
      <c r="F18" s="2">
        <v>15.1</v>
      </c>
      <c r="G18" s="2">
        <f>IF(COUNT(JumpData354[[#This Row],[Jump 1 (in)]:[Jump 3 (in)]])=0,"",AVERAGE(JumpData354[[#This Row],[Jump 1 (in)]:[Jump 3 (in)]]))</f>
        <v>15.866666666666667</v>
      </c>
    </row>
    <row r="19" spans="1:7">
      <c r="A19" s="6" t="s">
        <v>72</v>
      </c>
      <c r="B19" s="6" t="s">
        <v>50</v>
      </c>
      <c r="C19" s="1">
        <v>46237</v>
      </c>
      <c r="D19" s="2">
        <v>13</v>
      </c>
      <c r="E19" s="2">
        <v>13.8</v>
      </c>
      <c r="F19" s="2">
        <v>13.2</v>
      </c>
      <c r="G19" s="2">
        <f>IF(COUNT(JumpData354[[#This Row],[Jump 1 (in)]:[Jump 3 (in)]])=0,"",AVERAGE(JumpData354[[#This Row],[Jump 1 (in)]:[Jump 3 (in)]]))</f>
        <v>13.333333333333334</v>
      </c>
    </row>
    <row r="20" spans="1:7">
      <c r="A20" s="6" t="s">
        <v>15</v>
      </c>
      <c r="B20" s="6" t="s">
        <v>16</v>
      </c>
      <c r="C20" s="1">
        <v>46237</v>
      </c>
      <c r="D20" s="2">
        <v>20.5</v>
      </c>
      <c r="E20" s="2">
        <v>20.100000000000001</v>
      </c>
      <c r="F20" s="2">
        <v>19.899999999999999</v>
      </c>
      <c r="G20" s="2">
        <f>IF(COUNT(JumpData354[[#This Row],[Jump 1 (in)]:[Jump 3 (in)]])=0,"",AVERAGE(JumpData354[[#This Row],[Jump 1 (in)]:[Jump 3 (in)]]))</f>
        <v>20.166666666666668</v>
      </c>
    </row>
    <row r="21" spans="1:7">
      <c r="A21" s="6" t="s">
        <v>38</v>
      </c>
      <c r="B21" s="6" t="s">
        <v>39</v>
      </c>
      <c r="C21" s="1">
        <v>46237</v>
      </c>
      <c r="D21" s="2">
        <v>14.6</v>
      </c>
      <c r="E21" s="2">
        <v>15.3</v>
      </c>
      <c r="F21" s="2">
        <v>14.7</v>
      </c>
      <c r="G21" s="2">
        <f>IF(COUNT(JumpData354[[#This Row],[Jump 1 (in)]:[Jump 3 (in)]])=0,"",AVERAGE(JumpData354[[#This Row],[Jump 1 (in)]:[Jump 3 (in)]]))</f>
        <v>14.866666666666665</v>
      </c>
    </row>
    <row r="22" spans="1:7">
      <c r="A22" s="6" t="s">
        <v>19</v>
      </c>
      <c r="B22" s="6" t="s">
        <v>20</v>
      </c>
      <c r="C22" s="1">
        <v>46237</v>
      </c>
      <c r="D22" s="2">
        <v>14</v>
      </c>
      <c r="E22" s="2">
        <v>16.7</v>
      </c>
      <c r="F22" s="2">
        <v>14.6</v>
      </c>
      <c r="G22" s="2">
        <f>IF(COUNT(JumpData354[[#This Row],[Jump 1 (in)]:[Jump 3 (in)]])=0,"",AVERAGE(JumpData354[[#This Row],[Jump 1 (in)]:[Jump 3 (in)]]))</f>
        <v>15.1</v>
      </c>
    </row>
    <row r="23" spans="1:7">
      <c r="A23" s="6" t="s">
        <v>27</v>
      </c>
      <c r="B23" s="6" t="s">
        <v>73</v>
      </c>
      <c r="C23" s="1">
        <v>46237</v>
      </c>
      <c r="D23" s="2">
        <v>16.3</v>
      </c>
      <c r="E23" s="2">
        <v>16.399999999999999</v>
      </c>
      <c r="F23" s="2">
        <v>17.100000000000001</v>
      </c>
      <c r="G23" s="2">
        <f>IF(COUNT(JumpData354[[#This Row],[Jump 1 (in)]:[Jump 3 (in)]])=0,"",AVERAGE(JumpData354[[#This Row],[Jump 1 (in)]:[Jump 3 (in)]]))</f>
        <v>16.600000000000001</v>
      </c>
    </row>
    <row r="24" spans="1:7">
      <c r="A24" s="6" t="s">
        <v>33</v>
      </c>
      <c r="B24" s="6" t="s">
        <v>34</v>
      </c>
      <c r="C24" s="1">
        <v>46237</v>
      </c>
      <c r="D24" s="2">
        <v>15.7</v>
      </c>
      <c r="E24" s="2">
        <v>16.5</v>
      </c>
      <c r="F24" s="2">
        <v>16.100000000000001</v>
      </c>
      <c r="G24" s="2">
        <f>IF(COUNT(JumpData354[[#This Row],[Jump 1 (in)]:[Jump 3 (in)]])=0,"",AVERAGE(JumpData354[[#This Row],[Jump 1 (in)]:[Jump 3 (in)]]))</f>
        <v>16.100000000000001</v>
      </c>
    </row>
    <row r="25" spans="1:7">
      <c r="A25" s="6" t="s">
        <v>74</v>
      </c>
      <c r="B25" s="6" t="s">
        <v>43</v>
      </c>
      <c r="C25" s="1">
        <v>46237</v>
      </c>
      <c r="D25" s="2">
        <v>15.1</v>
      </c>
      <c r="E25" s="2">
        <v>14.6</v>
      </c>
      <c r="F25" s="2">
        <v>14.8</v>
      </c>
      <c r="G25" s="2">
        <f>IF(COUNT(JumpData354[[#This Row],[Jump 1 (in)]:[Jump 3 (in)]])=0,"",AVERAGE(JumpData354[[#This Row],[Jump 1 (in)]:[Jump 3 (in)]]))</f>
        <v>14.833333333333334</v>
      </c>
    </row>
    <row r="26" spans="1:7">
      <c r="A26" s="6" t="s">
        <v>29</v>
      </c>
      <c r="B26" s="6" t="s">
        <v>30</v>
      </c>
      <c r="C26" s="1">
        <v>46237</v>
      </c>
      <c r="D26" s="2">
        <v>18</v>
      </c>
      <c r="E26" s="2">
        <v>17.3</v>
      </c>
      <c r="F26" s="2">
        <v>16.899999999999999</v>
      </c>
      <c r="G26" s="2">
        <f>IF(COUNT(JumpData354[[#This Row],[Jump 1 (in)]:[Jump 3 (in)]])=0,"",AVERAGE(JumpData354[[#This Row],[Jump 1 (in)]:[Jump 3 (in)]]))</f>
        <v>17.399999999999999</v>
      </c>
    </row>
    <row r="27" spans="1:7">
      <c r="A27" s="7" t="s">
        <v>75</v>
      </c>
      <c r="B27" s="6" t="s">
        <v>18</v>
      </c>
      <c r="C27" s="1">
        <v>46237</v>
      </c>
      <c r="D27" s="2">
        <v>18</v>
      </c>
      <c r="E27" s="2">
        <v>17.8</v>
      </c>
      <c r="F27" s="2">
        <v>17.7</v>
      </c>
      <c r="G27" s="2">
        <f>IF(COUNT(JumpData354[[#This Row],[Jump 1 (in)]:[Jump 3 (in)]])=0,"",AVERAGE(JumpData354[[#This Row],[Jump 1 (in)]:[Jump 3 (in)]]))</f>
        <v>17.833333333333332</v>
      </c>
    </row>
    <row r="28" spans="1:7">
      <c r="A28" s="6" t="s">
        <v>41</v>
      </c>
      <c r="B28" s="6" t="s">
        <v>42</v>
      </c>
      <c r="C28" s="1">
        <v>46237</v>
      </c>
      <c r="D28" s="2">
        <v>15.9</v>
      </c>
      <c r="E28" s="2">
        <v>15.8</v>
      </c>
      <c r="F28" s="2">
        <v>16</v>
      </c>
      <c r="G28" s="2">
        <f>IF(COUNT(JumpData354[[#This Row],[Jump 1 (in)]:[Jump 3 (in)]])=0,"",AVERAGE(JumpData354[[#This Row],[Jump 1 (in)]:[Jump 3 (in)]]))</f>
        <v>15.9</v>
      </c>
    </row>
    <row r="29" spans="1:7">
      <c r="G29" s="2" t="str">
        <f>IFERROR(MAX(JumpData354[[#This Row],[Jump 1 (in)]:[Jump 3 (in)]]),"")</f>
        <v/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F30CE-B917-674F-9D50-969653BFF203}">
  <dimension ref="A1:G29"/>
  <sheetViews>
    <sheetView zoomScale="112" workbookViewId="0">
      <selection activeCell="A18" sqref="A18"/>
    </sheetView>
  </sheetViews>
  <sheetFormatPr defaultColWidth="11" defaultRowHeight="15.75"/>
  <cols>
    <col min="1" max="2" width="15" customWidth="1"/>
    <col min="3" max="3" width="15" style="1" customWidth="1"/>
    <col min="4" max="4" width="15" style="2" customWidth="1"/>
    <col min="5" max="7" width="14.125" style="2" customWidth="1"/>
  </cols>
  <sheetData>
    <row r="1" spans="1:7">
      <c r="A1" s="37" t="s">
        <v>79</v>
      </c>
      <c r="B1" s="38"/>
      <c r="C1" s="38"/>
      <c r="D1" s="38"/>
      <c r="E1" s="38"/>
      <c r="F1" s="38"/>
      <c r="G1" s="39"/>
    </row>
    <row r="2" spans="1:7" ht="24" customHeight="1">
      <c r="A2" s="3" t="s">
        <v>5</v>
      </c>
      <c r="B2" s="3" t="s">
        <v>6</v>
      </c>
      <c r="C2" s="4" t="s">
        <v>0</v>
      </c>
      <c r="D2" s="5" t="s">
        <v>61</v>
      </c>
      <c r="E2" s="5" t="s">
        <v>62</v>
      </c>
      <c r="F2" s="5" t="s">
        <v>63</v>
      </c>
      <c r="G2" s="5" t="s">
        <v>64</v>
      </c>
    </row>
    <row r="3" spans="1:7">
      <c r="A3" s="6" t="s">
        <v>65</v>
      </c>
      <c r="B3" s="6" t="s">
        <v>40</v>
      </c>
      <c r="C3" s="1">
        <v>46240</v>
      </c>
      <c r="D3" s="2">
        <v>14.9</v>
      </c>
      <c r="E3" s="2">
        <v>15.1</v>
      </c>
      <c r="F3" s="2">
        <v>15.8</v>
      </c>
      <c r="G3" s="2">
        <f>IF(COUNT(JumpData3546[[#This Row],[Jump 1 (in)]:[Jump 3 (in)]])=0,"",AVERAGE(JumpData3546[[#This Row],[Jump 1 (in)]:[Jump 3 (in)]]))</f>
        <v>15.266666666666666</v>
      </c>
    </row>
    <row r="4" spans="1:7">
      <c r="A4" s="6" t="s">
        <v>48</v>
      </c>
      <c r="B4" s="6" t="s">
        <v>49</v>
      </c>
      <c r="C4" s="1">
        <v>46240</v>
      </c>
      <c r="D4" s="2">
        <v>13.7</v>
      </c>
      <c r="E4" s="2">
        <v>13.9</v>
      </c>
      <c r="F4" s="2">
        <v>13.3</v>
      </c>
      <c r="G4" s="2">
        <f>IF(COUNT(JumpData3546[[#This Row],[Jump 1 (in)]:[Jump 3 (in)]])=0,"",AVERAGE(JumpData3546[[#This Row],[Jump 1 (in)]:[Jump 3 (in)]]))</f>
        <v>13.633333333333335</v>
      </c>
    </row>
    <row r="5" spans="1:7">
      <c r="A5" s="6" t="s">
        <v>46</v>
      </c>
      <c r="B5" s="6" t="s">
        <v>47</v>
      </c>
      <c r="C5" s="1">
        <v>46240</v>
      </c>
      <c r="D5" s="2">
        <v>13.3</v>
      </c>
      <c r="E5" s="2">
        <v>14.2</v>
      </c>
      <c r="F5" s="2">
        <v>13.5</v>
      </c>
      <c r="G5" s="2">
        <f>IF(COUNT(JumpData3546[[#This Row],[Jump 1 (in)]:[Jump 3 (in)]])=0,"",AVERAGE(JumpData3546[[#This Row],[Jump 1 (in)]:[Jump 3 (in)]]))</f>
        <v>13.666666666666666</v>
      </c>
    </row>
    <row r="6" spans="1:7">
      <c r="A6" s="6" t="s">
        <v>36</v>
      </c>
      <c r="B6" s="6" t="s">
        <v>37</v>
      </c>
      <c r="C6" s="1">
        <v>46240</v>
      </c>
      <c r="G6" s="2" t="str">
        <f>IF(COUNT(JumpData3546[[#This Row],[Jump 1 (in)]:[Jump 3 (in)]])=0,"",AVERAGE(JumpData3546[[#This Row],[Jump 1 (in)]:[Jump 3 (in)]]))</f>
        <v/>
      </c>
    </row>
    <row r="7" spans="1:7">
      <c r="A7" s="6" t="s">
        <v>23</v>
      </c>
      <c r="B7" s="6" t="s">
        <v>24</v>
      </c>
      <c r="C7" s="1">
        <v>46240</v>
      </c>
      <c r="D7" s="2">
        <v>19.100000000000001</v>
      </c>
      <c r="E7" s="2">
        <v>19.5</v>
      </c>
      <c r="F7" s="2">
        <v>19.3</v>
      </c>
      <c r="G7" s="2">
        <f>IF(COUNT(JumpData3546[[#This Row],[Jump 1 (in)]:[Jump 3 (in)]])=0,"",AVERAGE(JumpData3546[[#This Row],[Jump 1 (in)]:[Jump 3 (in)]]))</f>
        <v>19.3</v>
      </c>
    </row>
    <row r="8" spans="1:7">
      <c r="A8" s="6" t="s">
        <v>10</v>
      </c>
      <c r="B8" s="6" t="s">
        <v>66</v>
      </c>
      <c r="C8" s="1">
        <v>46240</v>
      </c>
      <c r="G8" s="2" t="str">
        <f>IF(COUNT(JumpData3546[[#This Row],[Jump 1 (in)]:[Jump 3 (in)]])=0,"",AVERAGE(JumpData3546[[#This Row],[Jump 1 (in)]:[Jump 3 (in)]]))</f>
        <v/>
      </c>
    </row>
    <row r="9" spans="1:7">
      <c r="A9" s="6" t="s">
        <v>11</v>
      </c>
      <c r="B9" s="6" t="s">
        <v>12</v>
      </c>
      <c r="C9" s="1">
        <v>46240</v>
      </c>
      <c r="G9" s="2" t="str">
        <f>IF(COUNT(JumpData3546[[#This Row],[Jump 1 (in)]:[Jump 3 (in)]])=0,"",AVERAGE(JumpData3546[[#This Row],[Jump 1 (in)]:[Jump 3 (in)]]))</f>
        <v/>
      </c>
    </row>
    <row r="10" spans="1:7">
      <c r="A10" s="6" t="s">
        <v>25</v>
      </c>
      <c r="B10" s="6" t="s">
        <v>26</v>
      </c>
      <c r="C10" s="1">
        <v>46240</v>
      </c>
      <c r="D10" s="2">
        <v>15.7</v>
      </c>
      <c r="E10" s="2">
        <v>15.8</v>
      </c>
      <c r="F10" s="2">
        <v>15.3</v>
      </c>
      <c r="G10" s="2">
        <f>IF(COUNT(JumpData3546[[#This Row],[Jump 1 (in)]:[Jump 3 (in)]])=0,"",AVERAGE(JumpData3546[[#This Row],[Jump 1 (in)]:[Jump 3 (in)]]))</f>
        <v>15.6</v>
      </c>
    </row>
    <row r="11" spans="1:7">
      <c r="A11" s="6" t="s">
        <v>67</v>
      </c>
      <c r="B11" s="6" t="s">
        <v>17</v>
      </c>
      <c r="C11" s="1">
        <v>46240</v>
      </c>
      <c r="D11" s="2">
        <v>17.899999999999999</v>
      </c>
      <c r="E11" s="2">
        <v>18.5</v>
      </c>
      <c r="F11" s="2">
        <v>18.7</v>
      </c>
      <c r="G11" s="2">
        <f>IF(COUNT(JumpData3546[[#This Row],[Jump 1 (in)]:[Jump 3 (in)]])=0,"",AVERAGE(JumpData3546[[#This Row],[Jump 1 (in)]:[Jump 3 (in)]]))</f>
        <v>18.366666666666664</v>
      </c>
    </row>
    <row r="12" spans="1:7">
      <c r="A12" s="6" t="s">
        <v>68</v>
      </c>
      <c r="B12" s="6" t="s">
        <v>35</v>
      </c>
      <c r="C12" s="1">
        <v>46240</v>
      </c>
      <c r="D12" s="2">
        <v>16.899999999999999</v>
      </c>
      <c r="E12" s="2">
        <v>16</v>
      </c>
      <c r="F12" s="2">
        <v>15.2</v>
      </c>
      <c r="G12" s="2">
        <f>IF(COUNT(JumpData3546[[#This Row],[Jump 1 (in)]:[Jump 3 (in)]])=0,"",AVERAGE(JumpData3546[[#This Row],[Jump 1 (in)]:[Jump 3 (in)]]))</f>
        <v>16.033333333333331</v>
      </c>
    </row>
    <row r="13" spans="1:7">
      <c r="A13" s="6" t="s">
        <v>21</v>
      </c>
      <c r="B13" s="6" t="s">
        <v>22</v>
      </c>
      <c r="C13" s="1">
        <v>46240</v>
      </c>
      <c r="G13" s="2" t="str">
        <f>IF(COUNT(JumpData3546[[#This Row],[Jump 1 (in)]:[Jump 3 (in)]])=0,"",AVERAGE(JumpData3546[[#This Row],[Jump 1 (in)]:[Jump 3 (in)]]))</f>
        <v/>
      </c>
    </row>
    <row r="14" spans="1:7">
      <c r="A14" s="6" t="s">
        <v>13</v>
      </c>
      <c r="B14" s="6" t="s">
        <v>14</v>
      </c>
      <c r="C14" s="1">
        <v>46240</v>
      </c>
      <c r="G14" s="2" t="str">
        <f>IF(COUNT(JumpData3546[[#This Row],[Jump 1 (in)]:[Jump 3 (in)]])=0,"",AVERAGE(JumpData3546[[#This Row],[Jump 1 (in)]:[Jump 3 (in)]]))</f>
        <v/>
      </c>
    </row>
    <row r="15" spans="1:7">
      <c r="A15" s="6" t="s">
        <v>44</v>
      </c>
      <c r="B15" s="6" t="s">
        <v>45</v>
      </c>
      <c r="C15" s="1">
        <v>46240</v>
      </c>
      <c r="D15" s="2">
        <v>16.8</v>
      </c>
      <c r="E15" s="2">
        <v>17.100000000000001</v>
      </c>
      <c r="F15" s="2">
        <v>16.100000000000001</v>
      </c>
      <c r="G15" s="2">
        <f>IF(COUNT(JumpData3546[[#This Row],[Jump 1 (in)]:[Jump 3 (in)]])=0,"",AVERAGE(JumpData3546[[#This Row],[Jump 1 (in)]:[Jump 3 (in)]]))</f>
        <v>16.666666666666668</v>
      </c>
    </row>
    <row r="16" spans="1:7">
      <c r="A16" s="6" t="s">
        <v>70</v>
      </c>
      <c r="B16" s="6" t="s">
        <v>28</v>
      </c>
      <c r="C16" s="1">
        <v>46240</v>
      </c>
      <c r="D16" s="2">
        <v>16.8</v>
      </c>
      <c r="E16" s="2">
        <v>16.3</v>
      </c>
      <c r="F16" s="2">
        <v>17.399999999999999</v>
      </c>
      <c r="G16" s="2">
        <f>IF(COUNT(JumpData3546[[#This Row],[Jump 1 (in)]:[Jump 3 (in)]])=0,"",AVERAGE(JumpData3546[[#This Row],[Jump 1 (in)]:[Jump 3 (in)]]))</f>
        <v>16.833333333333332</v>
      </c>
    </row>
    <row r="17" spans="1:7">
      <c r="A17" s="6" t="s">
        <v>31</v>
      </c>
      <c r="B17" s="6" t="s">
        <v>17</v>
      </c>
      <c r="C17" s="1">
        <v>46240</v>
      </c>
      <c r="D17" s="2">
        <v>8.1999999999999993</v>
      </c>
      <c r="E17" s="2">
        <v>10.5</v>
      </c>
      <c r="F17" s="2">
        <v>11.8</v>
      </c>
      <c r="G17" s="2">
        <f>IF(COUNT(JumpData3546[[#This Row],[Jump 1 (in)]:[Jump 3 (in)]])=0,"",AVERAGE(JumpData3546[[#This Row],[Jump 1 (in)]:[Jump 3 (in)]]))</f>
        <v>10.166666666666666</v>
      </c>
    </row>
    <row r="18" spans="1:7">
      <c r="A18" s="6" t="s">
        <v>31</v>
      </c>
      <c r="B18" s="6" t="s">
        <v>32</v>
      </c>
      <c r="C18" s="1">
        <v>46240</v>
      </c>
      <c r="D18" s="2">
        <v>16.399999999999999</v>
      </c>
      <c r="E18" s="2">
        <v>16.3</v>
      </c>
      <c r="F18" s="2">
        <v>15.4</v>
      </c>
      <c r="G18" s="2">
        <f>IF(COUNT(JumpData3546[[#This Row],[Jump 1 (in)]:[Jump 3 (in)]])=0,"",AVERAGE(JumpData3546[[#This Row],[Jump 1 (in)]:[Jump 3 (in)]]))</f>
        <v>16.033333333333335</v>
      </c>
    </row>
    <row r="19" spans="1:7">
      <c r="A19" s="6" t="s">
        <v>72</v>
      </c>
      <c r="B19" s="6" t="s">
        <v>50</v>
      </c>
      <c r="C19" s="1">
        <v>46240</v>
      </c>
      <c r="D19" s="2">
        <v>13.3</v>
      </c>
      <c r="E19" s="2">
        <v>13.1</v>
      </c>
      <c r="F19" s="2">
        <v>12.9</v>
      </c>
      <c r="G19" s="2">
        <f>IF(COUNT(JumpData3546[[#This Row],[Jump 1 (in)]:[Jump 3 (in)]])=0,"",AVERAGE(JumpData3546[[#This Row],[Jump 1 (in)]:[Jump 3 (in)]]))</f>
        <v>13.1</v>
      </c>
    </row>
    <row r="20" spans="1:7">
      <c r="A20" s="6" t="s">
        <v>15</v>
      </c>
      <c r="B20" s="6" t="s">
        <v>16</v>
      </c>
      <c r="C20" s="1">
        <v>46240</v>
      </c>
      <c r="D20" s="2">
        <v>19.8</v>
      </c>
      <c r="E20" s="2">
        <v>19.399999999999999</v>
      </c>
      <c r="F20" s="2">
        <v>19.7</v>
      </c>
      <c r="G20" s="2">
        <f>IF(COUNT(JumpData3546[[#This Row],[Jump 1 (in)]:[Jump 3 (in)]])=0,"",AVERAGE(JumpData3546[[#This Row],[Jump 1 (in)]:[Jump 3 (in)]]))</f>
        <v>19.633333333333336</v>
      </c>
    </row>
    <row r="21" spans="1:7">
      <c r="A21" s="6" t="s">
        <v>38</v>
      </c>
      <c r="B21" s="6" t="s">
        <v>39</v>
      </c>
      <c r="C21" s="1">
        <v>46240</v>
      </c>
      <c r="D21" s="2">
        <v>14.7</v>
      </c>
      <c r="E21" s="2">
        <v>14.4</v>
      </c>
      <c r="F21" s="2">
        <v>14.8</v>
      </c>
      <c r="G21" s="2">
        <f>IF(COUNT(JumpData3546[[#This Row],[Jump 1 (in)]:[Jump 3 (in)]])=0,"",AVERAGE(JumpData3546[[#This Row],[Jump 1 (in)]:[Jump 3 (in)]]))</f>
        <v>14.633333333333335</v>
      </c>
    </row>
    <row r="22" spans="1:7">
      <c r="A22" s="6" t="s">
        <v>19</v>
      </c>
      <c r="B22" s="6" t="s">
        <v>20</v>
      </c>
      <c r="C22" s="1">
        <v>46240</v>
      </c>
      <c r="D22" s="2">
        <v>17.2</v>
      </c>
      <c r="E22" s="2">
        <v>17</v>
      </c>
      <c r="F22" s="2">
        <v>17.3</v>
      </c>
      <c r="G22" s="2">
        <f>IF(COUNT(JumpData3546[[#This Row],[Jump 1 (in)]:[Jump 3 (in)]])=0,"",AVERAGE(JumpData3546[[#This Row],[Jump 1 (in)]:[Jump 3 (in)]]))</f>
        <v>17.166666666666668</v>
      </c>
    </row>
    <row r="23" spans="1:7">
      <c r="A23" s="6" t="s">
        <v>27</v>
      </c>
      <c r="B23" s="6" t="s">
        <v>73</v>
      </c>
      <c r="C23" s="1">
        <v>46240</v>
      </c>
      <c r="G23" s="2" t="str">
        <f>IF(COUNT(JumpData3546[[#This Row],[Jump 1 (in)]:[Jump 3 (in)]])=0,"",AVERAGE(JumpData3546[[#This Row],[Jump 1 (in)]:[Jump 3 (in)]]))</f>
        <v/>
      </c>
    </row>
    <row r="24" spans="1:7">
      <c r="A24" s="6" t="s">
        <v>33</v>
      </c>
      <c r="B24" s="6" t="s">
        <v>34</v>
      </c>
      <c r="C24" s="1">
        <v>46240</v>
      </c>
      <c r="D24" s="2">
        <v>16.5</v>
      </c>
      <c r="E24" s="2">
        <v>17.100000000000001</v>
      </c>
      <c r="F24" s="2">
        <v>17.399999999999999</v>
      </c>
      <c r="G24" s="2">
        <f>IF(COUNT(JumpData3546[[#This Row],[Jump 1 (in)]:[Jump 3 (in)]])=0,"",AVERAGE(JumpData3546[[#This Row],[Jump 1 (in)]:[Jump 3 (in)]]))</f>
        <v>17</v>
      </c>
    </row>
    <row r="25" spans="1:7">
      <c r="A25" s="6" t="s">
        <v>74</v>
      </c>
      <c r="B25" s="6" t="s">
        <v>43</v>
      </c>
      <c r="C25" s="1">
        <v>46240</v>
      </c>
      <c r="D25" s="2">
        <v>15.3</v>
      </c>
      <c r="E25" s="2">
        <v>14.3</v>
      </c>
      <c r="F25" s="2">
        <v>14.2</v>
      </c>
      <c r="G25" s="2">
        <f>IF(COUNT(JumpData3546[[#This Row],[Jump 1 (in)]:[Jump 3 (in)]])=0,"",AVERAGE(JumpData3546[[#This Row],[Jump 1 (in)]:[Jump 3 (in)]]))</f>
        <v>14.6</v>
      </c>
    </row>
    <row r="26" spans="1:7">
      <c r="A26" s="6" t="s">
        <v>29</v>
      </c>
      <c r="B26" s="6" t="s">
        <v>30</v>
      </c>
      <c r="C26" s="1">
        <v>46240</v>
      </c>
      <c r="G26" s="2" t="str">
        <f>IF(COUNT(JumpData3546[[#This Row],[Jump 1 (in)]:[Jump 3 (in)]])=0,"",AVERAGE(JumpData3546[[#This Row],[Jump 1 (in)]:[Jump 3 (in)]]))</f>
        <v/>
      </c>
    </row>
    <row r="27" spans="1:7">
      <c r="A27" s="7" t="s">
        <v>75</v>
      </c>
      <c r="B27" s="6" t="s">
        <v>18</v>
      </c>
      <c r="C27" s="1">
        <v>46240</v>
      </c>
      <c r="D27" s="2">
        <v>16.5</v>
      </c>
      <c r="E27" s="2">
        <v>17.2</v>
      </c>
      <c r="F27" s="2">
        <v>16.3</v>
      </c>
      <c r="G27" s="2">
        <f>IF(COUNT(JumpData3546[[#This Row],[Jump 1 (in)]:[Jump 3 (in)]])=0,"",AVERAGE(JumpData3546[[#This Row],[Jump 1 (in)]:[Jump 3 (in)]]))</f>
        <v>16.666666666666668</v>
      </c>
    </row>
    <row r="28" spans="1:7">
      <c r="A28" s="6" t="s">
        <v>41</v>
      </c>
      <c r="B28" s="6" t="s">
        <v>42</v>
      </c>
      <c r="C28" s="1">
        <v>46240</v>
      </c>
      <c r="D28" s="2">
        <v>14</v>
      </c>
      <c r="E28" s="2">
        <v>14.8</v>
      </c>
      <c r="F28" s="2">
        <v>15.4</v>
      </c>
      <c r="G28" s="2">
        <f>IF(COUNT(JumpData3546[[#This Row],[Jump 1 (in)]:[Jump 3 (in)]])=0,"",AVERAGE(JumpData3546[[#This Row],[Jump 1 (in)]:[Jump 3 (in)]]))</f>
        <v>14.733333333333334</v>
      </c>
    </row>
    <row r="29" spans="1:7">
      <c r="G29" s="2" t="str">
        <f>IFERROR(MAX(JumpData3546[[#This Row],[Jump 1 (in)]:[Jump 3 (in)]]),"")</f>
        <v/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07F6A-F494-D44E-9F9E-2CD1026BA67A}">
  <dimension ref="A1:G29"/>
  <sheetViews>
    <sheetView zoomScale="112" workbookViewId="0">
      <selection activeCell="K20" sqref="K20"/>
    </sheetView>
  </sheetViews>
  <sheetFormatPr defaultColWidth="11" defaultRowHeight="15.75"/>
  <cols>
    <col min="1" max="2" width="15" customWidth="1"/>
    <col min="3" max="3" width="15" style="1" customWidth="1"/>
    <col min="4" max="4" width="15" style="2" customWidth="1"/>
    <col min="5" max="7" width="14.125" style="2" customWidth="1"/>
  </cols>
  <sheetData>
    <row r="1" spans="1:7">
      <c r="A1" s="37" t="s">
        <v>80</v>
      </c>
      <c r="B1" s="38"/>
      <c r="C1" s="38"/>
      <c r="D1" s="38"/>
      <c r="E1" s="38"/>
      <c r="F1" s="38"/>
      <c r="G1" s="39"/>
    </row>
    <row r="2" spans="1:7" ht="24" customHeight="1">
      <c r="A2" s="3" t="s">
        <v>5</v>
      </c>
      <c r="B2" s="3" t="s">
        <v>6</v>
      </c>
      <c r="C2" s="4" t="s">
        <v>0</v>
      </c>
      <c r="D2" s="5" t="s">
        <v>61</v>
      </c>
      <c r="E2" s="5" t="s">
        <v>62</v>
      </c>
      <c r="F2" s="5" t="s">
        <v>63</v>
      </c>
      <c r="G2" s="5" t="s">
        <v>64</v>
      </c>
    </row>
    <row r="3" spans="1:7">
      <c r="A3" s="6" t="s">
        <v>65</v>
      </c>
      <c r="B3" s="6" t="s">
        <v>40</v>
      </c>
      <c r="C3" s="1">
        <v>46245</v>
      </c>
      <c r="D3" s="2">
        <v>15.7</v>
      </c>
      <c r="E3" s="2">
        <v>16.399999999999999</v>
      </c>
      <c r="F3" s="2">
        <v>16.600000000000001</v>
      </c>
      <c r="G3" s="2">
        <f>IF(COUNT(JumpData3547[[#This Row],[Jump 1 (in)]:[Jump 3 (in)]])=0,"",AVERAGE(JumpData3547[[#This Row],[Jump 1 (in)]:[Jump 3 (in)]]))</f>
        <v>16.233333333333331</v>
      </c>
    </row>
    <row r="4" spans="1:7">
      <c r="A4" s="6" t="s">
        <v>48</v>
      </c>
      <c r="B4" s="6" t="s">
        <v>49</v>
      </c>
      <c r="C4" s="1">
        <v>46245</v>
      </c>
      <c r="D4" s="2">
        <v>14.5</v>
      </c>
      <c r="E4" s="2">
        <v>13.2</v>
      </c>
      <c r="F4" s="2">
        <v>14.4</v>
      </c>
      <c r="G4" s="2">
        <f>IF(COUNT(JumpData3547[[#This Row],[Jump 1 (in)]:[Jump 3 (in)]])=0,"",AVERAGE(JumpData3547[[#This Row],[Jump 1 (in)]:[Jump 3 (in)]]))</f>
        <v>14.033333333333333</v>
      </c>
    </row>
    <row r="5" spans="1:7">
      <c r="A5" s="6" t="s">
        <v>46</v>
      </c>
      <c r="B5" s="6" t="s">
        <v>47</v>
      </c>
      <c r="C5" s="1">
        <v>46245</v>
      </c>
      <c r="D5" s="2">
        <v>15.9</v>
      </c>
      <c r="E5" s="2">
        <v>14.9</v>
      </c>
      <c r="F5" s="2">
        <v>13.9</v>
      </c>
      <c r="G5" s="2">
        <f>IF(COUNT(JumpData3547[[#This Row],[Jump 1 (in)]:[Jump 3 (in)]])=0,"",AVERAGE(JumpData3547[[#This Row],[Jump 1 (in)]:[Jump 3 (in)]]))</f>
        <v>14.9</v>
      </c>
    </row>
    <row r="6" spans="1:7">
      <c r="A6" s="6" t="s">
        <v>36</v>
      </c>
      <c r="B6" s="6" t="s">
        <v>37</v>
      </c>
      <c r="C6" s="1">
        <v>46245</v>
      </c>
      <c r="G6" s="2" t="str">
        <f>IF(COUNT(JumpData3547[[#This Row],[Jump 1 (in)]:[Jump 3 (in)]])=0,"",AVERAGE(JumpData3547[[#This Row],[Jump 1 (in)]:[Jump 3 (in)]]))</f>
        <v/>
      </c>
    </row>
    <row r="7" spans="1:7">
      <c r="A7" s="6" t="s">
        <v>23</v>
      </c>
      <c r="B7" s="6" t="s">
        <v>24</v>
      </c>
      <c r="C7" s="1">
        <v>46245</v>
      </c>
      <c r="D7" s="2">
        <v>19.2</v>
      </c>
      <c r="E7" s="2">
        <v>18.7</v>
      </c>
      <c r="G7" s="2">
        <f>IF(COUNT(JumpData3547[[#This Row],[Jump 1 (in)]:[Jump 3 (in)]])=0,"",AVERAGE(JumpData3547[[#This Row],[Jump 1 (in)]:[Jump 3 (in)]]))</f>
        <v>18.95</v>
      </c>
    </row>
    <row r="8" spans="1:7">
      <c r="A8" s="6" t="s">
        <v>10</v>
      </c>
      <c r="B8" s="6" t="s">
        <v>66</v>
      </c>
      <c r="C8" s="1">
        <v>46245</v>
      </c>
      <c r="G8" s="2" t="str">
        <f>IF(COUNT(JumpData3547[[#This Row],[Jump 1 (in)]:[Jump 3 (in)]])=0,"",AVERAGE(JumpData3547[[#This Row],[Jump 1 (in)]:[Jump 3 (in)]]))</f>
        <v/>
      </c>
    </row>
    <row r="9" spans="1:7">
      <c r="A9" s="6" t="s">
        <v>11</v>
      </c>
      <c r="B9" s="6" t="s">
        <v>12</v>
      </c>
      <c r="C9" s="1">
        <v>46245</v>
      </c>
      <c r="G9" s="2" t="str">
        <f>IF(COUNT(JumpData3547[[#This Row],[Jump 1 (in)]:[Jump 3 (in)]])=0,"",AVERAGE(JumpData3547[[#This Row],[Jump 1 (in)]:[Jump 3 (in)]]))</f>
        <v/>
      </c>
    </row>
    <row r="10" spans="1:7">
      <c r="A10" s="6" t="s">
        <v>25</v>
      </c>
      <c r="B10" s="6" t="s">
        <v>26</v>
      </c>
      <c r="C10" s="1">
        <v>46245</v>
      </c>
      <c r="D10" s="2">
        <v>16.8</v>
      </c>
      <c r="E10" s="2">
        <v>15.4</v>
      </c>
      <c r="F10" s="2">
        <v>16.8</v>
      </c>
      <c r="G10" s="2">
        <f>IF(COUNT(JumpData3547[[#This Row],[Jump 1 (in)]:[Jump 3 (in)]])=0,"",AVERAGE(JumpData3547[[#This Row],[Jump 1 (in)]:[Jump 3 (in)]]))</f>
        <v>16.333333333333332</v>
      </c>
    </row>
    <row r="11" spans="1:7">
      <c r="A11" s="6" t="s">
        <v>67</v>
      </c>
      <c r="B11" s="6" t="s">
        <v>17</v>
      </c>
      <c r="C11" s="1">
        <v>46245</v>
      </c>
      <c r="D11" s="2">
        <v>18.600000000000001</v>
      </c>
      <c r="E11" s="2">
        <v>18.899999999999999</v>
      </c>
      <c r="F11" s="2">
        <v>18.8</v>
      </c>
      <c r="G11" s="2">
        <f>IF(COUNT(JumpData3547[[#This Row],[Jump 1 (in)]:[Jump 3 (in)]])=0,"",AVERAGE(JumpData3547[[#This Row],[Jump 1 (in)]:[Jump 3 (in)]]))</f>
        <v>18.766666666666666</v>
      </c>
    </row>
    <row r="12" spans="1:7">
      <c r="A12" s="6" t="s">
        <v>68</v>
      </c>
      <c r="B12" s="6" t="s">
        <v>35</v>
      </c>
      <c r="C12" s="1">
        <v>46245</v>
      </c>
      <c r="D12" s="2">
        <v>16.399999999999999</v>
      </c>
      <c r="E12" s="2">
        <v>16.3</v>
      </c>
      <c r="F12" s="2">
        <v>15.6</v>
      </c>
      <c r="G12" s="2">
        <f>IF(COUNT(JumpData3547[[#This Row],[Jump 1 (in)]:[Jump 3 (in)]])=0,"",AVERAGE(JumpData3547[[#This Row],[Jump 1 (in)]:[Jump 3 (in)]]))</f>
        <v>16.100000000000001</v>
      </c>
    </row>
    <row r="13" spans="1:7">
      <c r="A13" s="6" t="s">
        <v>21</v>
      </c>
      <c r="B13" s="6" t="s">
        <v>22</v>
      </c>
      <c r="C13" s="1">
        <v>46245</v>
      </c>
      <c r="D13" s="2">
        <v>17.899999999999999</v>
      </c>
      <c r="E13" s="2">
        <v>16.899999999999999</v>
      </c>
      <c r="F13" s="2">
        <v>17.5</v>
      </c>
      <c r="G13" s="2">
        <f>IF(COUNT(JumpData3547[[#This Row],[Jump 1 (in)]:[Jump 3 (in)]])=0,"",AVERAGE(JumpData3547[[#This Row],[Jump 1 (in)]:[Jump 3 (in)]]))</f>
        <v>17.433333333333334</v>
      </c>
    </row>
    <row r="14" spans="1:7">
      <c r="A14" s="6" t="s">
        <v>13</v>
      </c>
      <c r="B14" s="6" t="s">
        <v>14</v>
      </c>
      <c r="C14" s="1">
        <v>46245</v>
      </c>
      <c r="G14" s="2" t="str">
        <f>IF(COUNT(JumpData3547[[#This Row],[Jump 1 (in)]:[Jump 3 (in)]])=0,"",AVERAGE(JumpData3547[[#This Row],[Jump 1 (in)]:[Jump 3 (in)]]))</f>
        <v/>
      </c>
    </row>
    <row r="15" spans="1:7">
      <c r="A15" s="6" t="s">
        <v>44</v>
      </c>
      <c r="B15" s="6" t="s">
        <v>45</v>
      </c>
      <c r="C15" s="1">
        <v>46245</v>
      </c>
      <c r="D15" s="2">
        <v>16.100000000000001</v>
      </c>
      <c r="E15" s="2">
        <v>18</v>
      </c>
      <c r="F15" s="2">
        <v>15.5</v>
      </c>
      <c r="G15" s="2">
        <f>IF(COUNT(JumpData3547[[#This Row],[Jump 1 (in)]:[Jump 3 (in)]])=0,"",AVERAGE(JumpData3547[[#This Row],[Jump 1 (in)]:[Jump 3 (in)]]))</f>
        <v>16.533333333333335</v>
      </c>
    </row>
    <row r="16" spans="1:7">
      <c r="A16" s="6" t="s">
        <v>70</v>
      </c>
      <c r="B16" s="6" t="s">
        <v>28</v>
      </c>
      <c r="C16" s="1">
        <v>46245</v>
      </c>
      <c r="D16" s="2">
        <v>18.3</v>
      </c>
      <c r="E16" s="2">
        <v>17.600000000000001</v>
      </c>
      <c r="F16" s="2">
        <v>17</v>
      </c>
      <c r="G16" s="2">
        <f>IF(COUNT(JumpData3547[[#This Row],[Jump 1 (in)]:[Jump 3 (in)]])=0,"",AVERAGE(JumpData3547[[#This Row],[Jump 1 (in)]:[Jump 3 (in)]]))</f>
        <v>17.633333333333336</v>
      </c>
    </row>
    <row r="17" spans="1:7">
      <c r="A17" s="6" t="s">
        <v>31</v>
      </c>
      <c r="B17" s="6" t="s">
        <v>17</v>
      </c>
      <c r="C17" s="1">
        <v>46245</v>
      </c>
      <c r="D17" s="2">
        <v>15.6</v>
      </c>
      <c r="E17" s="2">
        <v>15</v>
      </c>
      <c r="F17" s="2">
        <v>15.3</v>
      </c>
      <c r="G17" s="2">
        <f>IF(COUNT(JumpData3547[[#This Row],[Jump 1 (in)]:[Jump 3 (in)]])=0,"",AVERAGE(JumpData3547[[#This Row],[Jump 1 (in)]:[Jump 3 (in)]]))</f>
        <v>15.300000000000002</v>
      </c>
    </row>
    <row r="18" spans="1:7">
      <c r="A18" s="6" t="s">
        <v>31</v>
      </c>
      <c r="B18" s="6" t="s">
        <v>32</v>
      </c>
      <c r="C18" s="1">
        <v>46245</v>
      </c>
      <c r="D18" s="2">
        <v>17.2</v>
      </c>
      <c r="E18" s="2">
        <v>16.399999999999999</v>
      </c>
      <c r="F18" s="2">
        <v>15.5</v>
      </c>
      <c r="G18" s="2">
        <f>IF(COUNT(JumpData3547[[#This Row],[Jump 1 (in)]:[Jump 3 (in)]])=0,"",AVERAGE(JumpData3547[[#This Row],[Jump 1 (in)]:[Jump 3 (in)]]))</f>
        <v>16.366666666666664</v>
      </c>
    </row>
    <row r="19" spans="1:7">
      <c r="A19" s="6" t="s">
        <v>72</v>
      </c>
      <c r="B19" s="6" t="s">
        <v>50</v>
      </c>
      <c r="C19" s="1">
        <v>46245</v>
      </c>
      <c r="D19" s="2">
        <v>12.8</v>
      </c>
      <c r="E19" s="2">
        <v>13.3</v>
      </c>
      <c r="F19" s="2">
        <v>12.8</v>
      </c>
      <c r="G19" s="2">
        <f>IF(COUNT(JumpData3547[[#This Row],[Jump 1 (in)]:[Jump 3 (in)]])=0,"",AVERAGE(JumpData3547[[#This Row],[Jump 1 (in)]:[Jump 3 (in)]]))</f>
        <v>12.966666666666669</v>
      </c>
    </row>
    <row r="20" spans="1:7">
      <c r="A20" s="6" t="s">
        <v>15</v>
      </c>
      <c r="B20" s="6" t="s">
        <v>16</v>
      </c>
      <c r="C20" s="1">
        <v>46245</v>
      </c>
      <c r="D20" s="2">
        <v>19.399999999999999</v>
      </c>
      <c r="E20" s="2">
        <v>18.7</v>
      </c>
      <c r="F20" s="2">
        <v>19.2</v>
      </c>
      <c r="G20" s="2">
        <f>IF(COUNT(JumpData3547[[#This Row],[Jump 1 (in)]:[Jump 3 (in)]])=0,"",AVERAGE(JumpData3547[[#This Row],[Jump 1 (in)]:[Jump 3 (in)]]))</f>
        <v>19.099999999999998</v>
      </c>
    </row>
    <row r="21" spans="1:7">
      <c r="A21" s="6" t="s">
        <v>38</v>
      </c>
      <c r="B21" s="6" t="s">
        <v>39</v>
      </c>
      <c r="C21" s="1">
        <v>46245</v>
      </c>
      <c r="D21" s="2">
        <v>15.5</v>
      </c>
      <c r="E21" s="2">
        <v>14.8</v>
      </c>
      <c r="F21" s="2">
        <v>14</v>
      </c>
      <c r="G21" s="2">
        <f>IF(COUNT(JumpData3547[[#This Row],[Jump 1 (in)]:[Jump 3 (in)]])=0,"",AVERAGE(JumpData3547[[#This Row],[Jump 1 (in)]:[Jump 3 (in)]]))</f>
        <v>14.766666666666666</v>
      </c>
    </row>
    <row r="22" spans="1:7">
      <c r="A22" s="6" t="s">
        <v>19</v>
      </c>
      <c r="B22" s="6" t="s">
        <v>20</v>
      </c>
      <c r="C22" s="1">
        <v>46245</v>
      </c>
      <c r="D22" s="2">
        <v>18.100000000000001</v>
      </c>
      <c r="E22" s="2">
        <v>18.7</v>
      </c>
      <c r="F22" s="2">
        <v>18.899999999999999</v>
      </c>
      <c r="G22" s="2">
        <f>IF(COUNT(JumpData3547[[#This Row],[Jump 1 (in)]:[Jump 3 (in)]])=0,"",AVERAGE(JumpData3547[[#This Row],[Jump 1 (in)]:[Jump 3 (in)]]))</f>
        <v>18.566666666666666</v>
      </c>
    </row>
    <row r="23" spans="1:7">
      <c r="A23" s="6" t="s">
        <v>27</v>
      </c>
      <c r="B23" s="6" t="s">
        <v>73</v>
      </c>
      <c r="C23" s="1">
        <v>46245</v>
      </c>
      <c r="G23" s="2" t="str">
        <f>IF(COUNT(JumpData3547[[#This Row],[Jump 1 (in)]:[Jump 3 (in)]])=0,"",AVERAGE(JumpData3547[[#This Row],[Jump 1 (in)]:[Jump 3 (in)]]))</f>
        <v/>
      </c>
    </row>
    <row r="24" spans="1:7">
      <c r="A24" s="6" t="s">
        <v>33</v>
      </c>
      <c r="B24" s="6" t="s">
        <v>34</v>
      </c>
      <c r="C24" s="1">
        <v>46245</v>
      </c>
      <c r="D24" s="2">
        <v>16.5</v>
      </c>
      <c r="E24" s="2">
        <v>16.399999999999999</v>
      </c>
      <c r="F24" s="2">
        <v>15.6</v>
      </c>
      <c r="G24" s="2">
        <f>IF(COUNT(JumpData3547[[#This Row],[Jump 1 (in)]:[Jump 3 (in)]])=0,"",AVERAGE(JumpData3547[[#This Row],[Jump 1 (in)]:[Jump 3 (in)]]))</f>
        <v>16.166666666666668</v>
      </c>
    </row>
    <row r="25" spans="1:7">
      <c r="A25" s="6" t="s">
        <v>74</v>
      </c>
      <c r="B25" s="6" t="s">
        <v>43</v>
      </c>
      <c r="C25" s="1">
        <v>46245</v>
      </c>
      <c r="D25" s="2">
        <v>15.6</v>
      </c>
      <c r="E25" s="2">
        <v>14.8</v>
      </c>
      <c r="F25" s="2">
        <v>14.8</v>
      </c>
      <c r="G25" s="2">
        <f>IF(COUNT(JumpData3547[[#This Row],[Jump 1 (in)]:[Jump 3 (in)]])=0,"",AVERAGE(JumpData3547[[#This Row],[Jump 1 (in)]:[Jump 3 (in)]]))</f>
        <v>15.066666666666668</v>
      </c>
    </row>
    <row r="26" spans="1:7">
      <c r="A26" s="6" t="s">
        <v>29</v>
      </c>
      <c r="B26" s="6" t="s">
        <v>30</v>
      </c>
      <c r="C26" s="1">
        <v>46245</v>
      </c>
      <c r="D26" s="2">
        <v>18.2</v>
      </c>
      <c r="E26" s="2">
        <v>17.899999999999999</v>
      </c>
      <c r="F26" s="2">
        <v>16.399999999999999</v>
      </c>
      <c r="G26" s="2">
        <f>IF(COUNT(JumpData3547[[#This Row],[Jump 1 (in)]:[Jump 3 (in)]])=0,"",AVERAGE(JumpData3547[[#This Row],[Jump 1 (in)]:[Jump 3 (in)]]))</f>
        <v>17.499999999999996</v>
      </c>
    </row>
    <row r="27" spans="1:7">
      <c r="A27" s="7" t="s">
        <v>75</v>
      </c>
      <c r="B27" s="6" t="s">
        <v>18</v>
      </c>
      <c r="C27" s="1">
        <v>46245</v>
      </c>
      <c r="D27" s="2">
        <v>17.100000000000001</v>
      </c>
      <c r="E27" s="2">
        <v>16.600000000000001</v>
      </c>
      <c r="F27" s="2">
        <v>18.2</v>
      </c>
      <c r="G27" s="2">
        <f>IF(COUNT(JumpData3547[[#This Row],[Jump 1 (in)]:[Jump 3 (in)]])=0,"",AVERAGE(JumpData3547[[#This Row],[Jump 1 (in)]:[Jump 3 (in)]]))</f>
        <v>17.3</v>
      </c>
    </row>
    <row r="28" spans="1:7">
      <c r="A28" s="6" t="s">
        <v>41</v>
      </c>
      <c r="B28" s="6" t="s">
        <v>42</v>
      </c>
      <c r="C28" s="1">
        <v>46245</v>
      </c>
      <c r="D28" s="2">
        <v>14.1</v>
      </c>
      <c r="E28" s="2">
        <v>14.3</v>
      </c>
      <c r="F28" s="2">
        <v>14</v>
      </c>
      <c r="G28" s="2">
        <f>IF(COUNT(JumpData3547[[#This Row],[Jump 1 (in)]:[Jump 3 (in)]])=0,"",AVERAGE(JumpData3547[[#This Row],[Jump 1 (in)]:[Jump 3 (in)]]))</f>
        <v>14.133333333333333</v>
      </c>
    </row>
    <row r="29" spans="1:7">
      <c r="G29" s="2" t="str">
        <f>IFERROR(MAX(JumpData3547[[#This Row],[Jump 1 (in)]:[Jump 3 (in)]]),"")</f>
        <v/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Firstbeat</vt:lpstr>
      <vt:lpstr>MASTER</vt:lpstr>
      <vt:lpstr>Fri 7.24</vt:lpstr>
      <vt:lpstr>Mon 7.27</vt:lpstr>
      <vt:lpstr>Thurs 7.30</vt:lpstr>
      <vt:lpstr>Mon 8.3</vt:lpstr>
      <vt:lpstr>Fri 8.7</vt:lpstr>
      <vt:lpstr>Tues 8.11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Ava  Rubin</dc:creator>
  <cp:keywords/>
  <dc:description/>
  <cp:lastModifiedBy>Noah Gottschling</cp:lastModifiedBy>
  <cp:revision/>
  <dcterms:created xsi:type="dcterms:W3CDTF">2026-07-20T16:33:17Z</dcterms:created>
  <dcterms:modified xsi:type="dcterms:W3CDTF">2026-10-14T04:17:45Z</dcterms:modified>
  <cp:category/>
  <cp:contentStatus/>
</cp:coreProperties>
</file>